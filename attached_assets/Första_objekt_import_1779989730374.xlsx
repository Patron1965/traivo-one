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uppa/Desktop/"/>
    </mc:Choice>
  </mc:AlternateContent>
  <xr:revisionPtr revIDLastSave="0" documentId="13_ncr:1_{FD597434-EBE2-E842-920E-E5AE95DDF3CA}" xr6:coauthVersionLast="47" xr6:coauthVersionMax="47" xr10:uidLastSave="{00000000-0000-0000-0000-000000000000}"/>
  <bookViews>
    <workbookView xWindow="0" yWindow="600" windowWidth="38400" windowHeight="21600" activeTab="4" xr2:uid="{59580FF0-2EE0-C945-A06A-D9F6268BFD14}"/>
  </bookViews>
  <sheets>
    <sheet name="Grunddata" sheetId="1" r:id="rId1"/>
    <sheet name="Organisationsobjekt steg 1" sheetId="2" r:id="rId2"/>
    <sheet name="Butiksobjekt steg 2" sheetId="4" r:id="rId3"/>
    <sheet name="Objekt i butiker steg 3" sheetId="6" r:id="rId4"/>
    <sheet name="Metadatareferenser" sheetId="5" r:id="rId5"/>
  </sheets>
  <definedNames>
    <definedName name="_xlnm._FilterDatabase" localSheetId="3" hidden="1">'Objekt i butiker steg 3'!$A$3:$E$3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6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4" i="6"/>
  <c r="D6" i="6"/>
  <c r="E6" i="6"/>
  <c r="D9" i="6"/>
  <c r="E9" i="6"/>
  <c r="D12" i="6"/>
  <c r="E12" i="6"/>
  <c r="D15" i="6"/>
  <c r="E15" i="6"/>
  <c r="D18" i="6"/>
  <c r="E18" i="6"/>
  <c r="D21" i="6"/>
  <c r="E21" i="6"/>
  <c r="D24" i="6"/>
  <c r="E24" i="6"/>
  <c r="D27" i="6"/>
  <c r="E27" i="6"/>
  <c r="D30" i="6"/>
  <c r="E30" i="6"/>
  <c r="D33" i="6"/>
  <c r="E33" i="6"/>
  <c r="D36" i="6"/>
  <c r="E36" i="6"/>
  <c r="D39" i="6"/>
  <c r="E39" i="6"/>
  <c r="D42" i="6"/>
  <c r="E42" i="6"/>
  <c r="D45" i="6"/>
  <c r="E45" i="6"/>
  <c r="D48" i="6"/>
  <c r="E48" i="6"/>
  <c r="D51" i="6"/>
  <c r="E51" i="6"/>
  <c r="D54" i="6"/>
  <c r="E54" i="6"/>
  <c r="D57" i="6"/>
  <c r="E57" i="6"/>
  <c r="D60" i="6"/>
  <c r="E60" i="6"/>
  <c r="D63" i="6"/>
  <c r="E63" i="6"/>
  <c r="D66" i="6"/>
  <c r="E66" i="6"/>
  <c r="D69" i="6"/>
  <c r="E69" i="6"/>
  <c r="D72" i="6"/>
  <c r="E72" i="6"/>
  <c r="D75" i="6"/>
  <c r="E75" i="6"/>
  <c r="D78" i="6"/>
  <c r="E78" i="6"/>
  <c r="D81" i="6"/>
  <c r="E81" i="6"/>
  <c r="D84" i="6"/>
  <c r="E84" i="6"/>
  <c r="D87" i="6"/>
  <c r="E87" i="6"/>
  <c r="D90" i="6"/>
  <c r="E90" i="6"/>
  <c r="D93" i="6"/>
  <c r="E93" i="6"/>
  <c r="D96" i="6"/>
  <c r="E96" i="6"/>
  <c r="D99" i="6"/>
  <c r="E99" i="6"/>
  <c r="D102" i="6"/>
  <c r="E102" i="6"/>
  <c r="D105" i="6"/>
  <c r="E105" i="6"/>
  <c r="D108" i="6"/>
  <c r="E108" i="6"/>
  <c r="D111" i="6"/>
  <c r="E111" i="6"/>
  <c r="D114" i="6"/>
  <c r="E114" i="6"/>
  <c r="D117" i="6"/>
  <c r="E117" i="6"/>
  <c r="D120" i="6"/>
  <c r="E120" i="6"/>
  <c r="D123" i="6"/>
  <c r="E123" i="6"/>
  <c r="D126" i="6"/>
  <c r="E126" i="6"/>
  <c r="D129" i="6"/>
  <c r="E129" i="6"/>
  <c r="D132" i="6"/>
  <c r="E132" i="6"/>
  <c r="D135" i="6"/>
  <c r="E135" i="6"/>
  <c r="D138" i="6"/>
  <c r="E138" i="6"/>
  <c r="D141" i="6"/>
  <c r="E141" i="6"/>
  <c r="D144" i="6"/>
  <c r="E144" i="6"/>
  <c r="D147" i="6"/>
  <c r="E147" i="6"/>
  <c r="D150" i="6"/>
  <c r="E150" i="6"/>
  <c r="D153" i="6"/>
  <c r="E153" i="6"/>
  <c r="D156" i="6"/>
  <c r="E156" i="6"/>
  <c r="D159" i="6"/>
  <c r="E159" i="6"/>
  <c r="D162" i="6"/>
  <c r="E162" i="6"/>
  <c r="D165" i="6"/>
  <c r="E165" i="6"/>
  <c r="D168" i="6"/>
  <c r="E168" i="6"/>
  <c r="D171" i="6"/>
  <c r="E171" i="6"/>
  <c r="D174" i="6"/>
  <c r="E174" i="6"/>
  <c r="D177" i="6"/>
  <c r="E177" i="6"/>
  <c r="D180" i="6"/>
  <c r="E180" i="6"/>
  <c r="D183" i="6"/>
  <c r="E183" i="6"/>
  <c r="D186" i="6"/>
  <c r="E186" i="6"/>
  <c r="D189" i="6"/>
  <c r="E189" i="6"/>
  <c r="D192" i="6"/>
  <c r="E192" i="6"/>
  <c r="D195" i="6"/>
  <c r="E195" i="6"/>
  <c r="D198" i="6"/>
  <c r="E198" i="6"/>
  <c r="D201" i="6"/>
  <c r="E201" i="6"/>
  <c r="D204" i="6"/>
  <c r="E204" i="6"/>
  <c r="D207" i="6"/>
  <c r="E207" i="6"/>
  <c r="D210" i="6"/>
  <c r="E210" i="6"/>
  <c r="D213" i="6"/>
  <c r="E213" i="6"/>
  <c r="D216" i="6"/>
  <c r="E216" i="6"/>
  <c r="D219" i="6"/>
  <c r="E219" i="6"/>
  <c r="D222" i="6"/>
  <c r="E222" i="6"/>
  <c r="D225" i="6"/>
  <c r="E225" i="6"/>
  <c r="D228" i="6"/>
  <c r="E228" i="6"/>
  <c r="D231" i="6"/>
  <c r="E231" i="6"/>
  <c r="D234" i="6"/>
  <c r="E234" i="6"/>
  <c r="D237" i="6"/>
  <c r="E237" i="6"/>
  <c r="D240" i="6"/>
  <c r="E240" i="6"/>
  <c r="D243" i="6"/>
  <c r="E243" i="6"/>
  <c r="D246" i="6"/>
  <c r="E246" i="6"/>
  <c r="D249" i="6"/>
  <c r="E249" i="6"/>
  <c r="D252" i="6"/>
  <c r="E252" i="6"/>
  <c r="D255" i="6"/>
  <c r="E255" i="6"/>
  <c r="D258" i="6"/>
  <c r="E258" i="6"/>
  <c r="D261" i="6"/>
  <c r="E261" i="6"/>
  <c r="D264" i="6"/>
  <c r="E264" i="6"/>
  <c r="D267" i="6"/>
  <c r="E267" i="6"/>
  <c r="D270" i="6"/>
  <c r="E270" i="6"/>
  <c r="D273" i="6"/>
  <c r="E273" i="6"/>
  <c r="D276" i="6"/>
  <c r="E276" i="6"/>
  <c r="D279" i="6"/>
  <c r="E279" i="6"/>
  <c r="D282" i="6"/>
  <c r="E282" i="6"/>
  <c r="D285" i="6"/>
  <c r="E285" i="6"/>
  <c r="D288" i="6"/>
  <c r="E288" i="6"/>
  <c r="D291" i="6"/>
  <c r="E291" i="6"/>
  <c r="D294" i="6"/>
  <c r="E294" i="6"/>
  <c r="D297" i="6"/>
  <c r="E297" i="6"/>
  <c r="D300" i="6"/>
  <c r="E300" i="6"/>
  <c r="D303" i="6"/>
  <c r="E303" i="6"/>
  <c r="D306" i="6"/>
  <c r="E306" i="6"/>
  <c r="D309" i="6"/>
  <c r="E309" i="6"/>
  <c r="D312" i="6"/>
  <c r="E312" i="6"/>
  <c r="D315" i="6"/>
  <c r="E315" i="6"/>
  <c r="D318" i="6"/>
  <c r="E318" i="6"/>
  <c r="D321" i="6"/>
  <c r="E321" i="6"/>
  <c r="D324" i="6"/>
  <c r="E324" i="6"/>
  <c r="D327" i="6"/>
  <c r="E327" i="6"/>
  <c r="D330" i="6"/>
  <c r="E330" i="6"/>
  <c r="D333" i="6"/>
  <c r="E333" i="6"/>
  <c r="D336" i="6"/>
  <c r="E336" i="6"/>
  <c r="D339" i="6"/>
  <c r="E339" i="6"/>
  <c r="D342" i="6"/>
  <c r="E342" i="6"/>
  <c r="D345" i="6"/>
  <c r="E345" i="6"/>
  <c r="D348" i="6"/>
  <c r="E348" i="6"/>
  <c r="D351" i="6"/>
  <c r="E351" i="6"/>
  <c r="D354" i="6"/>
  <c r="E354" i="6"/>
  <c r="D357" i="6"/>
  <c r="E357" i="6"/>
  <c r="D360" i="6"/>
  <c r="E360" i="6"/>
  <c r="D363" i="6"/>
  <c r="E363" i="6"/>
  <c r="D366" i="6"/>
  <c r="E366" i="6"/>
  <c r="D369" i="6"/>
  <c r="E369" i="6"/>
  <c r="D372" i="6"/>
  <c r="E372" i="6"/>
  <c r="D375" i="6"/>
  <c r="E375" i="6"/>
  <c r="D378" i="6"/>
  <c r="E378" i="6"/>
  <c r="D381" i="6"/>
  <c r="E381" i="6"/>
  <c r="D384" i="6"/>
  <c r="E384" i="6"/>
  <c r="D387" i="6"/>
  <c r="E387" i="6"/>
  <c r="D390" i="6"/>
  <c r="E390" i="6"/>
  <c r="D393" i="6"/>
  <c r="E393" i="6"/>
  <c r="D396" i="6"/>
  <c r="E396" i="6"/>
  <c r="D399" i="6"/>
  <c r="E399" i="6"/>
  <c r="D402" i="6"/>
  <c r="E402" i="6"/>
  <c r="D405" i="6"/>
  <c r="E405" i="6"/>
  <c r="D408" i="6"/>
  <c r="E408" i="6"/>
  <c r="D411" i="6"/>
  <c r="E411" i="6"/>
  <c r="D414" i="6"/>
  <c r="E414" i="6"/>
  <c r="D417" i="6"/>
  <c r="E417" i="6"/>
  <c r="D420" i="6"/>
  <c r="E420" i="6"/>
  <c r="D423" i="6"/>
  <c r="E423" i="6"/>
  <c r="D426" i="6"/>
  <c r="E426" i="6"/>
  <c r="D429" i="6"/>
  <c r="E429" i="6"/>
  <c r="D432" i="6"/>
  <c r="E432" i="6"/>
  <c r="D435" i="6"/>
  <c r="E435" i="6"/>
  <c r="D438" i="6"/>
  <c r="E438" i="6"/>
  <c r="D441" i="6"/>
  <c r="E441" i="6"/>
  <c r="D444" i="6"/>
  <c r="E444" i="6"/>
  <c r="D447" i="6"/>
  <c r="E447" i="6"/>
  <c r="D450" i="6"/>
  <c r="E450" i="6"/>
  <c r="D453" i="6"/>
  <c r="E453" i="6"/>
  <c r="D456" i="6"/>
  <c r="E456" i="6"/>
  <c r="D459" i="6"/>
  <c r="E459" i="6"/>
  <c r="D462" i="6"/>
  <c r="E462" i="6"/>
  <c r="D465" i="6"/>
  <c r="E465" i="6"/>
  <c r="D468" i="6"/>
  <c r="E468" i="6"/>
  <c r="D471" i="6"/>
  <c r="E471" i="6"/>
  <c r="D474" i="6"/>
  <c r="E474" i="6"/>
  <c r="D477" i="6"/>
  <c r="E477" i="6"/>
  <c r="D480" i="6"/>
  <c r="E480" i="6"/>
  <c r="D483" i="6"/>
  <c r="E483" i="6"/>
  <c r="D486" i="6"/>
  <c r="E486" i="6"/>
  <c r="D489" i="6"/>
  <c r="E489" i="6"/>
  <c r="D492" i="6"/>
  <c r="E492" i="6"/>
  <c r="D495" i="6"/>
  <c r="E495" i="6"/>
  <c r="D498" i="6"/>
  <c r="E498" i="6"/>
  <c r="D501" i="6"/>
  <c r="E501" i="6"/>
  <c r="D504" i="6"/>
  <c r="E504" i="6"/>
  <c r="D507" i="6"/>
  <c r="E507" i="6"/>
  <c r="D510" i="6"/>
  <c r="E510" i="6"/>
  <c r="D513" i="6"/>
  <c r="E513" i="6"/>
  <c r="D516" i="6"/>
  <c r="E516" i="6"/>
  <c r="D519" i="6"/>
  <c r="E519" i="6"/>
  <c r="D522" i="6"/>
  <c r="E522" i="6"/>
  <c r="D525" i="6"/>
  <c r="E525" i="6"/>
  <c r="D528" i="6"/>
  <c r="E528" i="6"/>
  <c r="D531" i="6"/>
  <c r="E531" i="6"/>
  <c r="D534" i="6"/>
  <c r="E534" i="6"/>
  <c r="D537" i="6"/>
  <c r="E537" i="6"/>
  <c r="D540" i="6"/>
  <c r="E540" i="6"/>
  <c r="D543" i="6"/>
  <c r="E543" i="6"/>
  <c r="D546" i="6"/>
  <c r="E546" i="6"/>
  <c r="D549" i="6"/>
  <c r="E549" i="6"/>
  <c r="D552" i="6"/>
  <c r="E552" i="6"/>
  <c r="D555" i="6"/>
  <c r="E555" i="6"/>
  <c r="D558" i="6"/>
  <c r="E558" i="6"/>
  <c r="D561" i="6"/>
  <c r="E561" i="6"/>
  <c r="D564" i="6"/>
  <c r="E564" i="6"/>
  <c r="D567" i="6"/>
  <c r="E567" i="6"/>
  <c r="D570" i="6"/>
  <c r="E570" i="6"/>
  <c r="D573" i="6"/>
  <c r="E573" i="6"/>
  <c r="D576" i="6"/>
  <c r="E576" i="6"/>
  <c r="D579" i="6"/>
  <c r="E579" i="6"/>
  <c r="D582" i="6"/>
  <c r="E582" i="6"/>
  <c r="D585" i="6"/>
  <c r="E585" i="6"/>
  <c r="D588" i="6"/>
  <c r="E588" i="6"/>
  <c r="D591" i="6"/>
  <c r="E591" i="6"/>
  <c r="D594" i="6"/>
  <c r="E594" i="6"/>
  <c r="D597" i="6"/>
  <c r="E597" i="6"/>
  <c r="D600" i="6"/>
  <c r="E600" i="6"/>
  <c r="D603" i="6"/>
  <c r="E603" i="6"/>
  <c r="D606" i="6"/>
  <c r="E606" i="6"/>
  <c r="D609" i="6"/>
  <c r="E609" i="6"/>
  <c r="D612" i="6"/>
  <c r="E612" i="6"/>
  <c r="D615" i="6"/>
  <c r="E615" i="6"/>
  <c r="D618" i="6"/>
  <c r="E618" i="6"/>
  <c r="D621" i="6"/>
  <c r="E621" i="6"/>
  <c r="D624" i="6"/>
  <c r="E624" i="6"/>
  <c r="D627" i="6"/>
  <c r="E627" i="6"/>
  <c r="D630" i="6"/>
  <c r="E630" i="6"/>
  <c r="D633" i="6"/>
  <c r="E633" i="6"/>
  <c r="D636" i="6"/>
  <c r="E636" i="6"/>
  <c r="D639" i="6"/>
  <c r="E639" i="6"/>
  <c r="D642" i="6"/>
  <c r="E642" i="6"/>
  <c r="D645" i="6"/>
  <c r="E645" i="6"/>
  <c r="D648" i="6"/>
  <c r="E648" i="6"/>
  <c r="D651" i="6"/>
  <c r="E651" i="6"/>
  <c r="D654" i="6"/>
  <c r="E654" i="6"/>
  <c r="D657" i="6"/>
  <c r="E657" i="6"/>
  <c r="D660" i="6"/>
  <c r="E660" i="6"/>
  <c r="D5" i="6"/>
  <c r="E5" i="6"/>
  <c r="D7" i="6"/>
  <c r="E7" i="6"/>
  <c r="D10" i="6"/>
  <c r="E10" i="6"/>
  <c r="D13" i="6"/>
  <c r="E13" i="6"/>
  <c r="D16" i="6"/>
  <c r="E16" i="6"/>
  <c r="D19" i="6"/>
  <c r="E19" i="6"/>
  <c r="D22" i="6"/>
  <c r="E22" i="6"/>
  <c r="D25" i="6"/>
  <c r="E25" i="6"/>
  <c r="D28" i="6"/>
  <c r="E28" i="6"/>
  <c r="D31" i="6"/>
  <c r="E31" i="6"/>
  <c r="D34" i="6"/>
  <c r="E34" i="6"/>
  <c r="D37" i="6"/>
  <c r="E37" i="6"/>
  <c r="D40" i="6"/>
  <c r="E40" i="6"/>
  <c r="D43" i="6"/>
  <c r="E43" i="6"/>
  <c r="D46" i="6"/>
  <c r="E46" i="6"/>
  <c r="D49" i="6"/>
  <c r="E49" i="6"/>
  <c r="D52" i="6"/>
  <c r="E52" i="6"/>
  <c r="D55" i="6"/>
  <c r="E55" i="6"/>
  <c r="D58" i="6"/>
  <c r="E58" i="6"/>
  <c r="D61" i="6"/>
  <c r="E61" i="6"/>
  <c r="D64" i="6"/>
  <c r="E64" i="6"/>
  <c r="D67" i="6"/>
  <c r="E67" i="6"/>
  <c r="D70" i="6"/>
  <c r="E70" i="6"/>
  <c r="D73" i="6"/>
  <c r="E73" i="6"/>
  <c r="D76" i="6"/>
  <c r="E76" i="6"/>
  <c r="D79" i="6"/>
  <c r="E79" i="6"/>
  <c r="D82" i="6"/>
  <c r="E82" i="6"/>
  <c r="D85" i="6"/>
  <c r="E85" i="6"/>
  <c r="D88" i="6"/>
  <c r="E88" i="6"/>
  <c r="D91" i="6"/>
  <c r="E91" i="6"/>
  <c r="D94" i="6"/>
  <c r="E94" i="6"/>
  <c r="D97" i="6"/>
  <c r="E97" i="6"/>
  <c r="D100" i="6"/>
  <c r="E100" i="6"/>
  <c r="D103" i="6"/>
  <c r="E103" i="6"/>
  <c r="D106" i="6"/>
  <c r="E106" i="6"/>
  <c r="D109" i="6"/>
  <c r="E109" i="6"/>
  <c r="D112" i="6"/>
  <c r="E112" i="6"/>
  <c r="D115" i="6"/>
  <c r="E115" i="6"/>
  <c r="D118" i="6"/>
  <c r="E118" i="6"/>
  <c r="D121" i="6"/>
  <c r="E121" i="6"/>
  <c r="D124" i="6"/>
  <c r="E124" i="6"/>
  <c r="D127" i="6"/>
  <c r="E127" i="6"/>
  <c r="D130" i="6"/>
  <c r="E130" i="6"/>
  <c r="D133" i="6"/>
  <c r="E133" i="6"/>
  <c r="D136" i="6"/>
  <c r="E136" i="6"/>
  <c r="D139" i="6"/>
  <c r="E139" i="6"/>
  <c r="D142" i="6"/>
  <c r="E142" i="6"/>
  <c r="D145" i="6"/>
  <c r="E145" i="6"/>
  <c r="D148" i="6"/>
  <c r="E148" i="6"/>
  <c r="D151" i="6"/>
  <c r="E151" i="6"/>
  <c r="D154" i="6"/>
  <c r="E154" i="6"/>
  <c r="D157" i="6"/>
  <c r="E157" i="6"/>
  <c r="D160" i="6"/>
  <c r="E160" i="6"/>
  <c r="D163" i="6"/>
  <c r="E163" i="6"/>
  <c r="D166" i="6"/>
  <c r="E166" i="6"/>
  <c r="D169" i="6"/>
  <c r="E169" i="6"/>
  <c r="D172" i="6"/>
  <c r="E172" i="6"/>
  <c r="D175" i="6"/>
  <c r="E175" i="6"/>
  <c r="D178" i="6"/>
  <c r="E178" i="6"/>
  <c r="D181" i="6"/>
  <c r="E181" i="6"/>
  <c r="D184" i="6"/>
  <c r="E184" i="6"/>
  <c r="D187" i="6"/>
  <c r="E187" i="6"/>
  <c r="D190" i="6"/>
  <c r="E190" i="6"/>
  <c r="D193" i="6"/>
  <c r="E193" i="6"/>
  <c r="D196" i="6"/>
  <c r="E196" i="6"/>
  <c r="D199" i="6"/>
  <c r="E199" i="6"/>
  <c r="D202" i="6"/>
  <c r="E202" i="6"/>
  <c r="D205" i="6"/>
  <c r="E205" i="6"/>
  <c r="D208" i="6"/>
  <c r="E208" i="6"/>
  <c r="D211" i="6"/>
  <c r="E211" i="6"/>
  <c r="D214" i="6"/>
  <c r="E214" i="6"/>
  <c r="D217" i="6"/>
  <c r="E217" i="6"/>
  <c r="D220" i="6"/>
  <c r="E220" i="6"/>
  <c r="D223" i="6"/>
  <c r="E223" i="6"/>
  <c r="D226" i="6"/>
  <c r="E226" i="6"/>
  <c r="D229" i="6"/>
  <c r="E229" i="6"/>
  <c r="D232" i="6"/>
  <c r="E232" i="6"/>
  <c r="D235" i="6"/>
  <c r="E235" i="6"/>
  <c r="D238" i="6"/>
  <c r="E238" i="6"/>
  <c r="D241" i="6"/>
  <c r="E241" i="6"/>
  <c r="D244" i="6"/>
  <c r="E244" i="6"/>
  <c r="D247" i="6"/>
  <c r="E247" i="6"/>
  <c r="D250" i="6"/>
  <c r="E250" i="6"/>
  <c r="D253" i="6"/>
  <c r="E253" i="6"/>
  <c r="D256" i="6"/>
  <c r="E256" i="6"/>
  <c r="D259" i="6"/>
  <c r="E259" i="6"/>
  <c r="D262" i="6"/>
  <c r="E262" i="6"/>
  <c r="D265" i="6"/>
  <c r="E265" i="6"/>
  <c r="D268" i="6"/>
  <c r="E268" i="6"/>
  <c r="D271" i="6"/>
  <c r="E271" i="6"/>
  <c r="D274" i="6"/>
  <c r="E274" i="6"/>
  <c r="D277" i="6"/>
  <c r="E277" i="6"/>
  <c r="D280" i="6"/>
  <c r="E280" i="6"/>
  <c r="D283" i="6"/>
  <c r="E283" i="6"/>
  <c r="D286" i="6"/>
  <c r="E286" i="6"/>
  <c r="D289" i="6"/>
  <c r="E289" i="6"/>
  <c r="D292" i="6"/>
  <c r="E292" i="6"/>
  <c r="D295" i="6"/>
  <c r="E295" i="6"/>
  <c r="D298" i="6"/>
  <c r="E298" i="6"/>
  <c r="D301" i="6"/>
  <c r="E301" i="6"/>
  <c r="D304" i="6"/>
  <c r="E304" i="6"/>
  <c r="D307" i="6"/>
  <c r="E307" i="6"/>
  <c r="D310" i="6"/>
  <c r="E310" i="6"/>
  <c r="D313" i="6"/>
  <c r="E313" i="6"/>
  <c r="D316" i="6"/>
  <c r="E316" i="6"/>
  <c r="D319" i="6"/>
  <c r="E319" i="6"/>
  <c r="D322" i="6"/>
  <c r="E322" i="6"/>
  <c r="D325" i="6"/>
  <c r="E325" i="6"/>
  <c r="D328" i="6"/>
  <c r="E328" i="6"/>
  <c r="D331" i="6"/>
  <c r="E331" i="6"/>
  <c r="D334" i="6"/>
  <c r="E334" i="6"/>
  <c r="D337" i="6"/>
  <c r="E337" i="6"/>
  <c r="D340" i="6"/>
  <c r="E340" i="6"/>
  <c r="D343" i="6"/>
  <c r="E343" i="6"/>
  <c r="D346" i="6"/>
  <c r="E346" i="6"/>
  <c r="D349" i="6"/>
  <c r="E349" i="6"/>
  <c r="D352" i="6"/>
  <c r="E352" i="6"/>
  <c r="D355" i="6"/>
  <c r="E355" i="6"/>
  <c r="D358" i="6"/>
  <c r="E358" i="6"/>
  <c r="D361" i="6"/>
  <c r="E361" i="6"/>
  <c r="D364" i="6"/>
  <c r="E364" i="6"/>
  <c r="D367" i="6"/>
  <c r="E367" i="6"/>
  <c r="D370" i="6"/>
  <c r="E370" i="6"/>
  <c r="D373" i="6"/>
  <c r="E373" i="6"/>
  <c r="D376" i="6"/>
  <c r="E376" i="6"/>
  <c r="D379" i="6"/>
  <c r="E379" i="6"/>
  <c r="D382" i="6"/>
  <c r="E382" i="6"/>
  <c r="D385" i="6"/>
  <c r="E385" i="6"/>
  <c r="D388" i="6"/>
  <c r="E388" i="6"/>
  <c r="D391" i="6"/>
  <c r="E391" i="6"/>
  <c r="D394" i="6"/>
  <c r="E394" i="6"/>
  <c r="D397" i="6"/>
  <c r="E397" i="6"/>
  <c r="D400" i="6"/>
  <c r="E400" i="6"/>
  <c r="D403" i="6"/>
  <c r="E403" i="6"/>
  <c r="D406" i="6"/>
  <c r="E406" i="6"/>
  <c r="D409" i="6"/>
  <c r="E409" i="6"/>
  <c r="D412" i="6"/>
  <c r="E412" i="6"/>
  <c r="D415" i="6"/>
  <c r="E415" i="6"/>
  <c r="D418" i="6"/>
  <c r="E418" i="6"/>
  <c r="D421" i="6"/>
  <c r="E421" i="6"/>
  <c r="D424" i="6"/>
  <c r="E424" i="6"/>
  <c r="D427" i="6"/>
  <c r="E427" i="6"/>
  <c r="D430" i="6"/>
  <c r="E430" i="6"/>
  <c r="D433" i="6"/>
  <c r="E433" i="6"/>
  <c r="D436" i="6"/>
  <c r="E436" i="6"/>
  <c r="D439" i="6"/>
  <c r="E439" i="6"/>
  <c r="D442" i="6"/>
  <c r="E442" i="6"/>
  <c r="D445" i="6"/>
  <c r="E445" i="6"/>
  <c r="D448" i="6"/>
  <c r="E448" i="6"/>
  <c r="D451" i="6"/>
  <c r="E451" i="6"/>
  <c r="D454" i="6"/>
  <c r="E454" i="6"/>
  <c r="D457" i="6"/>
  <c r="E457" i="6"/>
  <c r="D460" i="6"/>
  <c r="E460" i="6"/>
  <c r="D463" i="6"/>
  <c r="E463" i="6"/>
  <c r="D466" i="6"/>
  <c r="E466" i="6"/>
  <c r="D469" i="6"/>
  <c r="E469" i="6"/>
  <c r="D472" i="6"/>
  <c r="E472" i="6"/>
  <c r="D475" i="6"/>
  <c r="E475" i="6"/>
  <c r="D478" i="6"/>
  <c r="E478" i="6"/>
  <c r="D481" i="6"/>
  <c r="E481" i="6"/>
  <c r="D484" i="6"/>
  <c r="E484" i="6"/>
  <c r="D487" i="6"/>
  <c r="E487" i="6"/>
  <c r="D490" i="6"/>
  <c r="E490" i="6"/>
  <c r="D493" i="6"/>
  <c r="E493" i="6"/>
  <c r="D496" i="6"/>
  <c r="E496" i="6"/>
  <c r="D499" i="6"/>
  <c r="E499" i="6"/>
  <c r="D502" i="6"/>
  <c r="E502" i="6"/>
  <c r="D505" i="6"/>
  <c r="E505" i="6"/>
  <c r="D508" i="6"/>
  <c r="E508" i="6"/>
  <c r="D511" i="6"/>
  <c r="E511" i="6"/>
  <c r="D514" i="6"/>
  <c r="E514" i="6"/>
  <c r="D517" i="6"/>
  <c r="E517" i="6"/>
  <c r="D520" i="6"/>
  <c r="E520" i="6"/>
  <c r="D523" i="6"/>
  <c r="E523" i="6"/>
  <c r="D526" i="6"/>
  <c r="E526" i="6"/>
  <c r="D529" i="6"/>
  <c r="E529" i="6"/>
  <c r="D532" i="6"/>
  <c r="E532" i="6"/>
  <c r="D535" i="6"/>
  <c r="E535" i="6"/>
  <c r="D538" i="6"/>
  <c r="E538" i="6"/>
  <c r="D541" i="6"/>
  <c r="E541" i="6"/>
  <c r="D544" i="6"/>
  <c r="E544" i="6"/>
  <c r="D547" i="6"/>
  <c r="E547" i="6"/>
  <c r="D550" i="6"/>
  <c r="E550" i="6"/>
  <c r="D553" i="6"/>
  <c r="E553" i="6"/>
  <c r="D556" i="6"/>
  <c r="E556" i="6"/>
  <c r="D559" i="6"/>
  <c r="E559" i="6"/>
  <c r="D562" i="6"/>
  <c r="E562" i="6"/>
  <c r="D565" i="6"/>
  <c r="E565" i="6"/>
  <c r="D568" i="6"/>
  <c r="E568" i="6"/>
  <c r="D571" i="6"/>
  <c r="E571" i="6"/>
  <c r="D574" i="6"/>
  <c r="E574" i="6"/>
  <c r="D577" i="6"/>
  <c r="E577" i="6"/>
  <c r="D580" i="6"/>
  <c r="E580" i="6"/>
  <c r="D583" i="6"/>
  <c r="E583" i="6"/>
  <c r="D586" i="6"/>
  <c r="E586" i="6"/>
  <c r="D589" i="6"/>
  <c r="E589" i="6"/>
  <c r="D592" i="6"/>
  <c r="E592" i="6"/>
  <c r="D595" i="6"/>
  <c r="E595" i="6"/>
  <c r="D598" i="6"/>
  <c r="E598" i="6"/>
  <c r="D601" i="6"/>
  <c r="E601" i="6"/>
  <c r="D604" i="6"/>
  <c r="E604" i="6"/>
  <c r="D607" i="6"/>
  <c r="E607" i="6"/>
  <c r="D610" i="6"/>
  <c r="E610" i="6"/>
  <c r="D613" i="6"/>
  <c r="E613" i="6"/>
  <c r="D616" i="6"/>
  <c r="E616" i="6"/>
  <c r="D619" i="6"/>
  <c r="E619" i="6"/>
  <c r="D622" i="6"/>
  <c r="E622" i="6"/>
  <c r="D625" i="6"/>
  <c r="E625" i="6"/>
  <c r="D628" i="6"/>
  <c r="E628" i="6"/>
  <c r="D631" i="6"/>
  <c r="E631" i="6"/>
  <c r="D634" i="6"/>
  <c r="E634" i="6"/>
  <c r="D637" i="6"/>
  <c r="E637" i="6"/>
  <c r="D640" i="6"/>
  <c r="E640" i="6"/>
  <c r="D643" i="6"/>
  <c r="E643" i="6"/>
  <c r="D646" i="6"/>
  <c r="E646" i="6"/>
  <c r="D649" i="6"/>
  <c r="E649" i="6"/>
  <c r="D652" i="6"/>
  <c r="E652" i="6"/>
  <c r="D655" i="6"/>
  <c r="E655" i="6"/>
  <c r="D658" i="6"/>
  <c r="E658" i="6"/>
  <c r="D661" i="6"/>
  <c r="E661" i="6"/>
  <c r="D8" i="6"/>
  <c r="E8" i="6"/>
  <c r="D11" i="6"/>
  <c r="E11" i="6"/>
  <c r="D14" i="6"/>
  <c r="E14" i="6"/>
  <c r="D17" i="6"/>
  <c r="E17" i="6"/>
  <c r="D20" i="6"/>
  <c r="E20" i="6"/>
  <c r="D23" i="6"/>
  <c r="E23" i="6"/>
  <c r="D26" i="6"/>
  <c r="E26" i="6"/>
  <c r="D29" i="6"/>
  <c r="E29" i="6"/>
  <c r="D32" i="6"/>
  <c r="E32" i="6"/>
  <c r="D35" i="6"/>
  <c r="E35" i="6"/>
  <c r="D38" i="6"/>
  <c r="E38" i="6"/>
  <c r="D41" i="6"/>
  <c r="E41" i="6"/>
  <c r="D44" i="6"/>
  <c r="E44" i="6"/>
  <c r="D47" i="6"/>
  <c r="E47" i="6"/>
  <c r="D50" i="6"/>
  <c r="E50" i="6"/>
  <c r="D53" i="6"/>
  <c r="E53" i="6"/>
  <c r="D56" i="6"/>
  <c r="E56" i="6"/>
  <c r="D59" i="6"/>
  <c r="E59" i="6"/>
  <c r="D62" i="6"/>
  <c r="E62" i="6"/>
  <c r="D65" i="6"/>
  <c r="E65" i="6"/>
  <c r="D68" i="6"/>
  <c r="E68" i="6"/>
  <c r="D71" i="6"/>
  <c r="E71" i="6"/>
  <c r="D74" i="6"/>
  <c r="E74" i="6"/>
  <c r="D77" i="6"/>
  <c r="E77" i="6"/>
  <c r="D80" i="6"/>
  <c r="E80" i="6"/>
  <c r="D83" i="6"/>
  <c r="E83" i="6"/>
  <c r="D86" i="6"/>
  <c r="E86" i="6"/>
  <c r="D89" i="6"/>
  <c r="E89" i="6"/>
  <c r="D92" i="6"/>
  <c r="E92" i="6"/>
  <c r="D95" i="6"/>
  <c r="E95" i="6"/>
  <c r="D98" i="6"/>
  <c r="E98" i="6"/>
  <c r="D101" i="6"/>
  <c r="E101" i="6"/>
  <c r="D104" i="6"/>
  <c r="E104" i="6"/>
  <c r="D107" i="6"/>
  <c r="E107" i="6"/>
  <c r="D110" i="6"/>
  <c r="E110" i="6"/>
  <c r="D113" i="6"/>
  <c r="E113" i="6"/>
  <c r="D116" i="6"/>
  <c r="E116" i="6"/>
  <c r="D119" i="6"/>
  <c r="E119" i="6"/>
  <c r="D122" i="6"/>
  <c r="E122" i="6"/>
  <c r="D125" i="6"/>
  <c r="E125" i="6"/>
  <c r="D128" i="6"/>
  <c r="E128" i="6"/>
  <c r="D131" i="6"/>
  <c r="E131" i="6"/>
  <c r="D134" i="6"/>
  <c r="E134" i="6"/>
  <c r="D137" i="6"/>
  <c r="E137" i="6"/>
  <c r="D140" i="6"/>
  <c r="E140" i="6"/>
  <c r="D143" i="6"/>
  <c r="E143" i="6"/>
  <c r="D146" i="6"/>
  <c r="E146" i="6"/>
  <c r="D149" i="6"/>
  <c r="E149" i="6"/>
  <c r="D152" i="6"/>
  <c r="E152" i="6"/>
  <c r="D155" i="6"/>
  <c r="E155" i="6"/>
  <c r="D158" i="6"/>
  <c r="E158" i="6"/>
  <c r="D161" i="6"/>
  <c r="E161" i="6"/>
  <c r="D164" i="6"/>
  <c r="E164" i="6"/>
  <c r="D167" i="6"/>
  <c r="E167" i="6"/>
  <c r="D170" i="6"/>
  <c r="E170" i="6"/>
  <c r="D173" i="6"/>
  <c r="E173" i="6"/>
  <c r="D176" i="6"/>
  <c r="E176" i="6"/>
  <c r="D179" i="6"/>
  <c r="E179" i="6"/>
  <c r="D182" i="6"/>
  <c r="E182" i="6"/>
  <c r="D185" i="6"/>
  <c r="E185" i="6"/>
  <c r="D188" i="6"/>
  <c r="E188" i="6"/>
  <c r="D191" i="6"/>
  <c r="E191" i="6"/>
  <c r="D194" i="6"/>
  <c r="E194" i="6"/>
  <c r="D197" i="6"/>
  <c r="E197" i="6"/>
  <c r="D200" i="6"/>
  <c r="E200" i="6"/>
  <c r="D203" i="6"/>
  <c r="E203" i="6"/>
  <c r="D206" i="6"/>
  <c r="E206" i="6"/>
  <c r="D209" i="6"/>
  <c r="E209" i="6"/>
  <c r="D212" i="6"/>
  <c r="E212" i="6"/>
  <c r="D215" i="6"/>
  <c r="E215" i="6"/>
  <c r="D218" i="6"/>
  <c r="E218" i="6"/>
  <c r="D221" i="6"/>
  <c r="E221" i="6"/>
  <c r="D224" i="6"/>
  <c r="E224" i="6"/>
  <c r="D227" i="6"/>
  <c r="E227" i="6"/>
  <c r="D230" i="6"/>
  <c r="E230" i="6"/>
  <c r="D233" i="6"/>
  <c r="E233" i="6"/>
  <c r="D236" i="6"/>
  <c r="E236" i="6"/>
  <c r="D239" i="6"/>
  <c r="E239" i="6"/>
  <c r="D242" i="6"/>
  <c r="E242" i="6"/>
  <c r="D245" i="6"/>
  <c r="E245" i="6"/>
  <c r="D248" i="6"/>
  <c r="E248" i="6"/>
  <c r="D251" i="6"/>
  <c r="E251" i="6"/>
  <c r="D254" i="6"/>
  <c r="E254" i="6"/>
  <c r="D257" i="6"/>
  <c r="E257" i="6"/>
  <c r="D260" i="6"/>
  <c r="E260" i="6"/>
  <c r="D263" i="6"/>
  <c r="E263" i="6"/>
  <c r="D266" i="6"/>
  <c r="E266" i="6"/>
  <c r="D269" i="6"/>
  <c r="E269" i="6"/>
  <c r="D272" i="6"/>
  <c r="E272" i="6"/>
  <c r="D275" i="6"/>
  <c r="E275" i="6"/>
  <c r="D278" i="6"/>
  <c r="E278" i="6"/>
  <c r="D281" i="6"/>
  <c r="E281" i="6"/>
  <c r="D284" i="6"/>
  <c r="E284" i="6"/>
  <c r="D287" i="6"/>
  <c r="E287" i="6"/>
  <c r="D290" i="6"/>
  <c r="E290" i="6"/>
  <c r="D293" i="6"/>
  <c r="E293" i="6"/>
  <c r="D296" i="6"/>
  <c r="E296" i="6"/>
  <c r="D299" i="6"/>
  <c r="E299" i="6"/>
  <c r="D302" i="6"/>
  <c r="E302" i="6"/>
  <c r="D305" i="6"/>
  <c r="E305" i="6"/>
  <c r="D308" i="6"/>
  <c r="E308" i="6"/>
  <c r="D311" i="6"/>
  <c r="E311" i="6"/>
  <c r="D314" i="6"/>
  <c r="E314" i="6"/>
  <c r="D317" i="6"/>
  <c r="E317" i="6"/>
  <c r="D320" i="6"/>
  <c r="E320" i="6"/>
  <c r="D323" i="6"/>
  <c r="E323" i="6"/>
  <c r="D326" i="6"/>
  <c r="E326" i="6"/>
  <c r="D329" i="6"/>
  <c r="E329" i="6"/>
  <c r="D332" i="6"/>
  <c r="E332" i="6"/>
  <c r="D335" i="6"/>
  <c r="E335" i="6"/>
  <c r="D338" i="6"/>
  <c r="E338" i="6"/>
  <c r="D341" i="6"/>
  <c r="E341" i="6"/>
  <c r="D344" i="6"/>
  <c r="E344" i="6"/>
  <c r="D347" i="6"/>
  <c r="E347" i="6"/>
  <c r="D350" i="6"/>
  <c r="E350" i="6"/>
  <c r="D353" i="6"/>
  <c r="E353" i="6"/>
  <c r="D356" i="6"/>
  <c r="E356" i="6"/>
  <c r="D359" i="6"/>
  <c r="E359" i="6"/>
  <c r="D362" i="6"/>
  <c r="E362" i="6"/>
  <c r="D365" i="6"/>
  <c r="E365" i="6"/>
  <c r="D368" i="6"/>
  <c r="E368" i="6"/>
  <c r="D371" i="6"/>
  <c r="E371" i="6"/>
  <c r="D374" i="6"/>
  <c r="E374" i="6"/>
  <c r="D377" i="6"/>
  <c r="E377" i="6"/>
  <c r="D380" i="6"/>
  <c r="E380" i="6"/>
  <c r="D383" i="6"/>
  <c r="E383" i="6"/>
  <c r="D386" i="6"/>
  <c r="E386" i="6"/>
  <c r="D389" i="6"/>
  <c r="E389" i="6"/>
  <c r="D392" i="6"/>
  <c r="E392" i="6"/>
  <c r="D395" i="6"/>
  <c r="E395" i="6"/>
  <c r="D398" i="6"/>
  <c r="E398" i="6"/>
  <c r="D401" i="6"/>
  <c r="E401" i="6"/>
  <c r="D404" i="6"/>
  <c r="E404" i="6"/>
  <c r="D407" i="6"/>
  <c r="E407" i="6"/>
  <c r="D410" i="6"/>
  <c r="E410" i="6"/>
  <c r="D413" i="6"/>
  <c r="E413" i="6"/>
  <c r="D416" i="6"/>
  <c r="E416" i="6"/>
  <c r="D419" i="6"/>
  <c r="E419" i="6"/>
  <c r="D422" i="6"/>
  <c r="E422" i="6"/>
  <c r="D425" i="6"/>
  <c r="E425" i="6"/>
  <c r="D428" i="6"/>
  <c r="E428" i="6"/>
  <c r="D431" i="6"/>
  <c r="E431" i="6"/>
  <c r="D434" i="6"/>
  <c r="E434" i="6"/>
  <c r="D437" i="6"/>
  <c r="E437" i="6"/>
  <c r="D440" i="6"/>
  <c r="E440" i="6"/>
  <c r="D443" i="6"/>
  <c r="E443" i="6"/>
  <c r="D446" i="6"/>
  <c r="E446" i="6"/>
  <c r="D449" i="6"/>
  <c r="E449" i="6"/>
  <c r="D452" i="6"/>
  <c r="E452" i="6"/>
  <c r="D455" i="6"/>
  <c r="E455" i="6"/>
  <c r="D458" i="6"/>
  <c r="E458" i="6"/>
  <c r="D461" i="6"/>
  <c r="E461" i="6"/>
  <c r="D464" i="6"/>
  <c r="E464" i="6"/>
  <c r="D467" i="6"/>
  <c r="E467" i="6"/>
  <c r="D470" i="6"/>
  <c r="E470" i="6"/>
  <c r="D473" i="6"/>
  <c r="E473" i="6"/>
  <c r="D476" i="6"/>
  <c r="E476" i="6"/>
  <c r="D479" i="6"/>
  <c r="E479" i="6"/>
  <c r="D482" i="6"/>
  <c r="E482" i="6"/>
  <c r="D485" i="6"/>
  <c r="E485" i="6"/>
  <c r="D488" i="6"/>
  <c r="E488" i="6"/>
  <c r="D491" i="6"/>
  <c r="E491" i="6"/>
  <c r="D494" i="6"/>
  <c r="E494" i="6"/>
  <c r="D497" i="6"/>
  <c r="E497" i="6"/>
  <c r="D500" i="6"/>
  <c r="E500" i="6"/>
  <c r="D503" i="6"/>
  <c r="E503" i="6"/>
  <c r="D506" i="6"/>
  <c r="E506" i="6"/>
  <c r="D509" i="6"/>
  <c r="E509" i="6"/>
  <c r="D512" i="6"/>
  <c r="E512" i="6"/>
  <c r="D515" i="6"/>
  <c r="E515" i="6"/>
  <c r="D518" i="6"/>
  <c r="E518" i="6"/>
  <c r="D521" i="6"/>
  <c r="E521" i="6"/>
  <c r="D524" i="6"/>
  <c r="E524" i="6"/>
  <c r="D527" i="6"/>
  <c r="E527" i="6"/>
  <c r="D530" i="6"/>
  <c r="E530" i="6"/>
  <c r="D533" i="6"/>
  <c r="E533" i="6"/>
  <c r="D536" i="6"/>
  <c r="E536" i="6"/>
  <c r="D539" i="6"/>
  <c r="E539" i="6"/>
  <c r="D542" i="6"/>
  <c r="E542" i="6"/>
  <c r="D545" i="6"/>
  <c r="E545" i="6"/>
  <c r="D548" i="6"/>
  <c r="E548" i="6"/>
  <c r="D551" i="6"/>
  <c r="E551" i="6"/>
  <c r="D554" i="6"/>
  <c r="E554" i="6"/>
  <c r="D557" i="6"/>
  <c r="E557" i="6"/>
  <c r="D560" i="6"/>
  <c r="E560" i="6"/>
  <c r="D563" i="6"/>
  <c r="E563" i="6"/>
  <c r="D566" i="6"/>
  <c r="E566" i="6"/>
  <c r="D569" i="6"/>
  <c r="E569" i="6"/>
  <c r="D572" i="6"/>
  <c r="E572" i="6"/>
  <c r="D575" i="6"/>
  <c r="E575" i="6"/>
  <c r="D578" i="6"/>
  <c r="E578" i="6"/>
  <c r="D581" i="6"/>
  <c r="E581" i="6"/>
  <c r="D584" i="6"/>
  <c r="E584" i="6"/>
  <c r="D587" i="6"/>
  <c r="E587" i="6"/>
  <c r="D590" i="6"/>
  <c r="E590" i="6"/>
  <c r="D593" i="6"/>
  <c r="E593" i="6"/>
  <c r="D596" i="6"/>
  <c r="E596" i="6"/>
  <c r="D599" i="6"/>
  <c r="E599" i="6"/>
  <c r="D602" i="6"/>
  <c r="E602" i="6"/>
  <c r="D605" i="6"/>
  <c r="E605" i="6"/>
  <c r="D608" i="6"/>
  <c r="E608" i="6"/>
  <c r="D611" i="6"/>
  <c r="E611" i="6"/>
  <c r="D614" i="6"/>
  <c r="E614" i="6"/>
  <c r="D617" i="6"/>
  <c r="E617" i="6"/>
  <c r="D620" i="6"/>
  <c r="E620" i="6"/>
  <c r="D623" i="6"/>
  <c r="E623" i="6"/>
  <c r="D626" i="6"/>
  <c r="E626" i="6"/>
  <c r="D629" i="6"/>
  <c r="E629" i="6"/>
  <c r="D632" i="6"/>
  <c r="E632" i="6"/>
  <c r="D635" i="6"/>
  <c r="E635" i="6"/>
  <c r="D638" i="6"/>
  <c r="E638" i="6"/>
  <c r="D641" i="6"/>
  <c r="E641" i="6"/>
  <c r="D644" i="6"/>
  <c r="E644" i="6"/>
  <c r="D647" i="6"/>
  <c r="E647" i="6"/>
  <c r="D650" i="6"/>
  <c r="E650" i="6"/>
  <c r="D653" i="6"/>
  <c r="E653" i="6"/>
  <c r="D656" i="6"/>
  <c r="E656" i="6"/>
  <c r="D659" i="6"/>
  <c r="E659" i="6"/>
  <c r="D662" i="6"/>
  <c r="E662" i="6"/>
  <c r="E4" i="6"/>
  <c r="D4" i="6"/>
</calcChain>
</file>

<file path=xl/sharedStrings.xml><?xml version="1.0" encoding="utf-8"?>
<sst xmlns="http://schemas.openxmlformats.org/spreadsheetml/2006/main" count="6691" uniqueCount="2474">
  <si>
    <t>Butik</t>
  </si>
  <si>
    <t>Nr</t>
  </si>
  <si>
    <t>Region</t>
  </si>
  <si>
    <t>Postadress</t>
  </si>
  <si>
    <t>Postnr / Ort</t>
  </si>
  <si>
    <t>Butikens telefon nr</t>
  </si>
  <si>
    <t>Handlare/Butikschef Egenägd</t>
  </si>
  <si>
    <t>Handlare/BC mobil nr (ej sms till BC egenägd)</t>
  </si>
  <si>
    <t>Mejladress Handlare/BC</t>
  </si>
  <si>
    <t>Butikschef Handlarägd</t>
  </si>
  <si>
    <t>Mobil/SMS</t>
  </si>
  <si>
    <t>Besöksadress</t>
  </si>
  <si>
    <t>Leveransadress</t>
  </si>
  <si>
    <t>Ort</t>
  </si>
  <si>
    <t>Org.nr</t>
  </si>
  <si>
    <t>Bolagsnamn</t>
  </si>
  <si>
    <t>Telefon</t>
  </si>
  <si>
    <t>Ägandeform</t>
  </si>
  <si>
    <t>PostNord</t>
  </si>
  <si>
    <t>Associerad Börjes Tingsryd</t>
  </si>
  <si>
    <t>Syd Handlarägd</t>
  </si>
  <si>
    <t>Box 7</t>
  </si>
  <si>
    <t>362 21 Tingsryd</t>
  </si>
  <si>
    <t>0477-482 00</t>
  </si>
  <si>
    <t xml:space="preserve">Anna Rungegård </t>
  </si>
  <si>
    <t>anna.rungegard@hemkop.se ; pernilla.malm@hemkop.se</t>
  </si>
  <si>
    <t>Pernilla Malm</t>
  </si>
  <si>
    <t>Storgatan 66-68</t>
  </si>
  <si>
    <t>362 30 Tingsryd</t>
  </si>
  <si>
    <t>556074-9151</t>
  </si>
  <si>
    <t>Börjes Tingsryd AB</t>
  </si>
  <si>
    <t>Associerad</t>
  </si>
  <si>
    <t>Får ej beställa via Axfoods fraktavtal</t>
  </si>
  <si>
    <t>Associerad Extra Mjällby Listerlandet</t>
  </si>
  <si>
    <t>Remelinvägen 4a</t>
  </si>
  <si>
    <t>294 00 Sölvesborg</t>
  </si>
  <si>
    <t>0456-548 70</t>
  </si>
  <si>
    <t>Albin Håkansson</t>
  </si>
  <si>
    <t>070-7749171</t>
  </si>
  <si>
    <t>albin.hakansson@butikskontakt.se</t>
  </si>
  <si>
    <t>556430-8087</t>
  </si>
  <si>
    <t>Listerhallen AB</t>
  </si>
  <si>
    <t>Associerad Fittja Matmarknad Norsborg</t>
  </si>
  <si>
    <t>Stockholm 2 - Mitt Handlarägd</t>
  </si>
  <si>
    <t>Fittja Torg 21</t>
  </si>
  <si>
    <t>145 51 Norsborg</t>
  </si>
  <si>
    <t>08-740 13 37</t>
  </si>
  <si>
    <t>Resül Yetim</t>
  </si>
  <si>
    <t>073-9800583</t>
  </si>
  <si>
    <t>resul.yetim@hemkop.se</t>
  </si>
  <si>
    <t>556805-6716</t>
  </si>
  <si>
    <t>Munir´s Livs AB</t>
  </si>
  <si>
    <t>Associerad Fresha Stockholm Hässelby</t>
  </si>
  <si>
    <t>Stockholm 1  Handlarägd</t>
  </si>
  <si>
    <t>Hässelby Torg 7</t>
  </si>
  <si>
    <t>165 55 Hässelby</t>
  </si>
  <si>
    <t>073-9975400</t>
  </si>
  <si>
    <t>Savyo Markus / Stivan Marqus</t>
  </si>
  <si>
    <t>savyo.markus@butikskontakt.se ; sm-matbutik@hotmail.com</t>
  </si>
  <si>
    <t>559281-2365</t>
  </si>
  <si>
    <t>SM Matbutik AB</t>
  </si>
  <si>
    <t>Associerad Hemköp Gråbo Bonum</t>
  </si>
  <si>
    <t>Väst Handlarägd</t>
  </si>
  <si>
    <t>Mjörnbotorget 2</t>
  </si>
  <si>
    <t>443 42 Gråbo</t>
  </si>
  <si>
    <t>030-241 265</t>
  </si>
  <si>
    <t>Svante Kedner</t>
  </si>
  <si>
    <t>070-514 13 25</t>
  </si>
  <si>
    <t>svante.kedner@hemkop.se</t>
  </si>
  <si>
    <t>556174-9804</t>
  </si>
  <si>
    <t>Bonum Livsmedel i Gråbo AB</t>
  </si>
  <si>
    <t>Associerad Hovsjö Matcenter</t>
  </si>
  <si>
    <t>Björnövägen 10</t>
  </si>
  <si>
    <t>151 65 Södertälje</t>
  </si>
  <si>
    <t>08-550 411 08</t>
  </si>
  <si>
    <t>Leden Shamoon</t>
  </si>
  <si>
    <t xml:space="preserve">070-4674227 </t>
  </si>
  <si>
    <t>leden.shamoon@butikskontakt.se</t>
  </si>
  <si>
    <t>Kyara Somo</t>
  </si>
  <si>
    <t>070-024 77 78</t>
  </si>
  <si>
    <t>559089-2542</t>
  </si>
  <si>
    <t>Hovsö Närlivs AB</t>
  </si>
  <si>
    <t>Associerad Hörby Lågprisaffär</t>
  </si>
  <si>
    <t>Nygatan 29</t>
  </si>
  <si>
    <t>242 33 Hörby</t>
  </si>
  <si>
    <t>0415-103 23</t>
  </si>
  <si>
    <t>Bengt V Hansson</t>
  </si>
  <si>
    <t>070-5110112</t>
  </si>
  <si>
    <t>bengt.hansson@butikskontakt.se</t>
  </si>
  <si>
    <t>430818-3716</t>
  </si>
  <si>
    <t>Hörby Lågprisaffär</t>
  </si>
  <si>
    <t>Associerad Ingaröhallen Brunn</t>
  </si>
  <si>
    <t>Pastor Ödmans Väg 2</t>
  </si>
  <si>
    <t>134 60 Ingarö</t>
  </si>
  <si>
    <t>08-57 44 06 40</t>
  </si>
  <si>
    <t>Johan Edlund</t>
  </si>
  <si>
    <t>070-9266211</t>
  </si>
  <si>
    <t>johan.edlund@butikskontakt.se</t>
  </si>
  <si>
    <t>Katja Wallin</t>
  </si>
  <si>
    <t>0708 28 23 16</t>
  </si>
  <si>
    <t>556657-6236</t>
  </si>
  <si>
    <t>Ingaröhallen AB</t>
  </si>
  <si>
    <t>Associerad Lågprisvaruhuset MEJK Lindesberg</t>
  </si>
  <si>
    <t>Norr Handlarägd</t>
  </si>
  <si>
    <t>Bandygatan 2C</t>
  </si>
  <si>
    <t>711 34 Lindesberg</t>
  </si>
  <si>
    <t>0581-10046</t>
  </si>
  <si>
    <t>Mikael Karlsson</t>
  </si>
  <si>
    <t>070-6747180</t>
  </si>
  <si>
    <t>mikael.karlsson@butikskontakt.se</t>
  </si>
  <si>
    <t>556544-3404</t>
  </si>
  <si>
    <t>MEJK Butiken AB</t>
  </si>
  <si>
    <t>Associerad Matköp Tumba Storvreten</t>
  </si>
  <si>
    <t>Storvretsvägen 13</t>
  </si>
  <si>
    <t>147 54 Tumba</t>
  </si>
  <si>
    <t>08-530 302 80</t>
  </si>
  <si>
    <t>Georgez Tannous</t>
  </si>
  <si>
    <t>070-4832987</t>
  </si>
  <si>
    <t>georgez.tannous@butikskontakt.se</t>
  </si>
  <si>
    <t>556698-3648</t>
  </si>
  <si>
    <t>Al Arez AB</t>
  </si>
  <si>
    <t>Associerad Matvärlden Kungens Kurva</t>
  </si>
  <si>
    <t>Tangentvägen 14 A</t>
  </si>
  <si>
    <t>141 75 Kungens Kurva</t>
  </si>
  <si>
    <t>08-124 383 00</t>
  </si>
  <si>
    <t>Muhittin Tayli</t>
  </si>
  <si>
    <t>0704-945626</t>
  </si>
  <si>
    <t>jt@matvarlden.se ; jonas.tayli@butikskontakt.se</t>
  </si>
  <si>
    <t>Tangentvägen 14 B</t>
  </si>
  <si>
    <t>559348-7126</t>
  </si>
  <si>
    <t>Matvärlden Kungens Kurva AB</t>
  </si>
  <si>
    <t>Associerad Matvärlden Veddesta</t>
  </si>
  <si>
    <t>Nettovägen 2-4</t>
  </si>
  <si>
    <t>175 41 Järfälla</t>
  </si>
  <si>
    <t>08-409 360 00</t>
  </si>
  <si>
    <t>Mattias Hedberg</t>
  </si>
  <si>
    <t>070-9296570</t>
  </si>
  <si>
    <t>556969-4754</t>
  </si>
  <si>
    <t>Matvärlden Veddesta AB</t>
  </si>
  <si>
    <t xml:space="preserve">Associerad Polargrossen Haparanda </t>
  </si>
  <si>
    <t>Norra Industrivägen 1</t>
  </si>
  <si>
    <t>953 34 Haparanda</t>
  </si>
  <si>
    <t>Kari Lantto</t>
  </si>
  <si>
    <t>070-5174372</t>
  </si>
  <si>
    <t xml:space="preserve">kari.lantto@polargrossen.se </t>
  </si>
  <si>
    <t xml:space="preserve">juho.ikonen@polargrossen.se </t>
  </si>
  <si>
    <t>556576-4759</t>
  </si>
  <si>
    <t>Polargrossen AB</t>
  </si>
  <si>
    <t>Associerad T-Snabben Stockholm Östra Station</t>
  </si>
  <si>
    <t>Valhallavägen 77</t>
  </si>
  <si>
    <t>114 27 Stockholm</t>
  </si>
  <si>
    <t>08-612 18 95</t>
  </si>
  <si>
    <t>Frank Thelin</t>
  </si>
  <si>
    <t>070-9323920</t>
  </si>
  <si>
    <t>frank.thelin@hemkop.se; eva.pettersson@butikskontakt.se</t>
  </si>
  <si>
    <t>Eva Pettersson</t>
  </si>
  <si>
    <t>556986-2427</t>
  </si>
  <si>
    <t>Food Market T-Snabben AB</t>
  </si>
  <si>
    <t>08 612 18 95</t>
  </si>
  <si>
    <t>Hemköp Alfta Västanågatan</t>
  </si>
  <si>
    <t>Västanågatan 3</t>
  </si>
  <si>
    <t>822 31 Alfta</t>
  </si>
  <si>
    <t>0271-552 30</t>
  </si>
  <si>
    <t>Lena-Marie Persson</t>
  </si>
  <si>
    <t>070-5523066</t>
  </si>
  <si>
    <t>lena-marie.persson@hemkop.se</t>
  </si>
  <si>
    <t>Mikael Persson</t>
  </si>
  <si>
    <t>559019-8858</t>
  </si>
  <si>
    <t>Lena-Maries Livs AB</t>
  </si>
  <si>
    <t>Handlarägd</t>
  </si>
  <si>
    <t>Hemköp Alingsås Sveagatan</t>
  </si>
  <si>
    <t>Sveagatan 8</t>
  </si>
  <si>
    <t>441 32 Alingsås</t>
  </si>
  <si>
    <t>0322-61 19 77</t>
  </si>
  <si>
    <t>Krister Nordgren/Ros-Mari Abrahamsson</t>
  </si>
  <si>
    <t>070-6300049/070-3633047</t>
  </si>
  <si>
    <t>krister.nordgren@hemkop.se</t>
  </si>
  <si>
    <t>556885-7162</t>
  </si>
  <si>
    <t>Rastor AB</t>
  </si>
  <si>
    <t>Hemköp Avesta Prästgatan</t>
  </si>
  <si>
    <t>Prästgatan 26</t>
  </si>
  <si>
    <t>774 33 Avesta</t>
  </si>
  <si>
    <t>0226 - 526 40</t>
  </si>
  <si>
    <t>Kristoffer Pettersson</t>
  </si>
  <si>
    <t>070-4903117</t>
  </si>
  <si>
    <t>kristoffer.pettersson@hemkop.se</t>
  </si>
  <si>
    <t>559019-8825</t>
  </si>
  <si>
    <t>KEKP Mat AB</t>
  </si>
  <si>
    <t>0226-526 40</t>
  </si>
  <si>
    <t xml:space="preserve">Hemköp Avesta Skogsbo </t>
  </si>
  <si>
    <t>Rutboleden 1</t>
  </si>
  <si>
    <t>774 40 Avesta</t>
  </si>
  <si>
    <t>0226-174 410</t>
  </si>
  <si>
    <t>Peter Bergvall</t>
  </si>
  <si>
    <t>070-6830132</t>
  </si>
  <si>
    <t>peter.bergvall@hemkop.se</t>
  </si>
  <si>
    <t>0703 55 22 55</t>
  </si>
  <si>
    <t>556780-7036</t>
  </si>
  <si>
    <t>Mataffär´n i Skogsbo AB</t>
  </si>
  <si>
    <t>Hemköp Stockholm Bromma Stora Mossen</t>
  </si>
  <si>
    <t>SOBELGRÄND 4</t>
  </si>
  <si>
    <t>167 58 Bromma</t>
  </si>
  <si>
    <t>08-12437960</t>
  </si>
  <si>
    <t>Jakob Garpe</t>
  </si>
  <si>
    <t>070-3939099</t>
  </si>
  <si>
    <t>jakob.garpe@hemkop.se</t>
  </si>
  <si>
    <t>Hemköp I Bromma AB</t>
  </si>
  <si>
    <t>91/9</t>
  </si>
  <si>
    <t>Hemköp Björklinge C</t>
  </si>
  <si>
    <t>Södra Långgatan 4</t>
  </si>
  <si>
    <t>743 62 Björklinge</t>
  </si>
  <si>
    <t>018-37 00 25</t>
  </si>
  <si>
    <t>David Jonegård / Andreas/Johannes Lindgren</t>
  </si>
  <si>
    <t>073-9485368 / 073-7251256 / 070-0809562</t>
  </si>
  <si>
    <t>david.jonegard@hemkop.se;andreas.lindgren@hemkop.se;johannes.lindgren@hemkop.se</t>
  </si>
  <si>
    <t>Södra Långåvägen 4</t>
  </si>
  <si>
    <t>556514-6395</t>
  </si>
  <si>
    <t>Björkhallen i Björklinge AB</t>
  </si>
  <si>
    <t>Hemköp Bollebygd Stationsvägen</t>
  </si>
  <si>
    <t>Stationsvägen 7</t>
  </si>
  <si>
    <t>517 23 Bollebygd</t>
  </si>
  <si>
    <t>033-20 42 60</t>
  </si>
  <si>
    <t>Lars Wiss</t>
  </si>
  <si>
    <t>070-6070648</t>
  </si>
  <si>
    <t>lars.wiss@hemkop.se</t>
  </si>
  <si>
    <t>556352-0245</t>
  </si>
  <si>
    <t>Bollebygds Stormarknad Nya AB</t>
  </si>
  <si>
    <t>033-20 42 65</t>
  </si>
  <si>
    <t>Hemköp Borlänge Södra Backa</t>
  </si>
  <si>
    <t>Hammargatan 8</t>
  </si>
  <si>
    <t>781 71 Borlänge</t>
  </si>
  <si>
    <t>0243-680 00</t>
  </si>
  <si>
    <t xml:space="preserve">Monica Jörgensen </t>
  </si>
  <si>
    <t>070-2442118</t>
  </si>
  <si>
    <t>monica.jorgensen@hemkop.se</t>
  </si>
  <si>
    <t>Monica Jörgensen</t>
  </si>
  <si>
    <t>0702 44 21 18</t>
  </si>
  <si>
    <t>556524-2814</t>
  </si>
  <si>
    <t>Mathuset i Södra Backa AB</t>
  </si>
  <si>
    <t>0243-680 00/070-666 84 64</t>
  </si>
  <si>
    <t>Hemköp Bålsta Gamla C</t>
  </si>
  <si>
    <t>Stockholmsvägen 14</t>
  </si>
  <si>
    <t>746 33 Bålsta</t>
  </si>
  <si>
    <t>0171-500 06</t>
  </si>
  <si>
    <t>Calle Lindqvist</t>
  </si>
  <si>
    <t>072-3111029</t>
  </si>
  <si>
    <t>calle.lindqvist@hemkop.se</t>
  </si>
  <si>
    <t>556298-8674</t>
  </si>
  <si>
    <t>Lindqvist Handel AB</t>
  </si>
  <si>
    <t>Hemköp Dala-Järna Myrbacka</t>
  </si>
  <si>
    <t>Myrbacka 80</t>
  </si>
  <si>
    <t>786 72 Dala-Järna</t>
  </si>
  <si>
    <t>0281-200 01</t>
  </si>
  <si>
    <t>Niclas Dahlman</t>
  </si>
  <si>
    <t>070-7676275</t>
  </si>
  <si>
    <t>niclas.dahlman@hemkop.se</t>
  </si>
  <si>
    <t>559506-8981</t>
  </si>
  <si>
    <t>Dahlmat AB</t>
  </si>
  <si>
    <t>0281- 200 01</t>
  </si>
  <si>
    <t>Hemköp Dalby C</t>
  </si>
  <si>
    <t>Kristers väg 23</t>
  </si>
  <si>
    <t>247 50 Dalby</t>
  </si>
  <si>
    <t>046-20 00 77</t>
  </si>
  <si>
    <t>Magnus Holm</t>
  </si>
  <si>
    <t>070-2850760</t>
  </si>
  <si>
    <t>magnus.holm@hemkop.se</t>
  </si>
  <si>
    <t>556700-9344</t>
  </si>
  <si>
    <t>Magnus Holms livs i Dalby AB</t>
  </si>
  <si>
    <t>Hemköp Danderyd Mörby C</t>
  </si>
  <si>
    <t>Stockholm Egenägd</t>
  </si>
  <si>
    <t>Golfvägen 2</t>
  </si>
  <si>
    <t>182 31 Danderyd</t>
  </si>
  <si>
    <t>08-755 00 77</t>
  </si>
  <si>
    <t>Linus Edestav</t>
  </si>
  <si>
    <t>010-4744239</t>
  </si>
  <si>
    <t>butikschef.hemkopmorbyc.4239@hemkop.se</t>
  </si>
  <si>
    <t>0761 09 06 59</t>
  </si>
  <si>
    <t>Mörby Centrum</t>
  </si>
  <si>
    <t>Mörbyleden 6</t>
  </si>
  <si>
    <t>556113-8826</t>
  </si>
  <si>
    <t>Hemköpskedjan AB</t>
  </si>
  <si>
    <t>08- 544 907 58</t>
  </si>
  <si>
    <t>Egenägd</t>
  </si>
  <si>
    <t>Hemköp Delsbo Edevägen</t>
  </si>
  <si>
    <t>Edevägen 9</t>
  </si>
  <si>
    <t>820 60 Delsbo</t>
  </si>
  <si>
    <t>0653-100 03</t>
  </si>
  <si>
    <t>Christer Jonsson</t>
  </si>
  <si>
    <t>072-5779507</t>
  </si>
  <si>
    <t>christer.jonsson@hemkop.se</t>
  </si>
  <si>
    <t>556885-9507</t>
  </si>
  <si>
    <t>Handel &amp; Service i BjuråkerAB</t>
  </si>
  <si>
    <t>Hemköp Ellös Rosenlundsvägen</t>
  </si>
  <si>
    <t>Rosenlundsvägen 51</t>
  </si>
  <si>
    <t>474 31 Ellös</t>
  </si>
  <si>
    <t>0304-500 51</t>
  </si>
  <si>
    <t>Samir Cherif</t>
  </si>
  <si>
    <t>070-7427200</t>
  </si>
  <si>
    <t>samir.cherif@hemkop.se</t>
  </si>
  <si>
    <t>Markus Olsson</t>
  </si>
  <si>
    <t>072-388 821 00</t>
  </si>
  <si>
    <t>556769-4814</t>
  </si>
  <si>
    <t>Citybutikerna i Ellös AB</t>
  </si>
  <si>
    <t xml:space="preserve">0304-50051 </t>
  </si>
  <si>
    <t>Hemköp Eskilstuna C</t>
  </si>
  <si>
    <t>Mitt Egenägd</t>
  </si>
  <si>
    <t>Rademacherg. 5-7</t>
  </si>
  <si>
    <t>632 20 Eskilstuna</t>
  </si>
  <si>
    <t>016-13 10 40</t>
  </si>
  <si>
    <t>Erik Johansson Englund</t>
  </si>
  <si>
    <t>010-4744221</t>
  </si>
  <si>
    <t>butikschef.hemkopeskilstunac.4221@hemkop.se</t>
  </si>
  <si>
    <t>0761 09 06 12</t>
  </si>
  <si>
    <t>Hemköp Falun C</t>
  </si>
  <si>
    <t>Stockholm-Norr Egenägd</t>
  </si>
  <si>
    <t>Holmgatan 18</t>
  </si>
  <si>
    <t>791 71 Falun</t>
  </si>
  <si>
    <t>023-268 50</t>
  </si>
  <si>
    <t>Jonas Thunstedt</t>
  </si>
  <si>
    <t>010-4744203</t>
  </si>
  <si>
    <t>butikschef.hemkopfalunc.4203@hemkop.se</t>
  </si>
  <si>
    <t>0761 09 06 14</t>
  </si>
  <si>
    <t>Hemköp Falun Hosjö</t>
  </si>
  <si>
    <t>Centralvägen 7</t>
  </si>
  <si>
    <t>791 46 Falun</t>
  </si>
  <si>
    <t>023-320 84</t>
  </si>
  <si>
    <t xml:space="preserve">Andreas Nygårdh </t>
  </si>
  <si>
    <t>070-0909987</t>
  </si>
  <si>
    <t>andreas.nygardh@hemkop.se</t>
  </si>
  <si>
    <t>556961-5627</t>
  </si>
  <si>
    <t>Mat i Hosjö AB</t>
  </si>
  <si>
    <t>Hemköp Fellingsbro C</t>
  </si>
  <si>
    <t>Hemvägen</t>
  </si>
  <si>
    <t>732 71 Fellingsbro</t>
  </si>
  <si>
    <t>0581-62 00 53</t>
  </si>
  <si>
    <t>Andreas Fredriksson</t>
  </si>
  <si>
    <t>070-2423352</t>
  </si>
  <si>
    <t>andreas.fredriksson@hemkop.se</t>
  </si>
  <si>
    <t>556616-0072</t>
  </si>
  <si>
    <t>Anforina AB</t>
  </si>
  <si>
    <t>Hemköp Gnesta Dansutvägen</t>
  </si>
  <si>
    <t>Dansutvägen 2</t>
  </si>
  <si>
    <t>646 30 Gnesta</t>
  </si>
  <si>
    <t>0158-262 75</t>
  </si>
  <si>
    <t>Andreas Norlin</t>
  </si>
  <si>
    <t>073-6602931</t>
  </si>
  <si>
    <t>andreas.norlin@hemkop.se</t>
  </si>
  <si>
    <t>Stefan Andersson</t>
  </si>
  <si>
    <t>0705 92 76 60</t>
  </si>
  <si>
    <t>556581-4778</t>
  </si>
  <si>
    <t>Stopp Matmarknad i Gnesta AB</t>
  </si>
  <si>
    <t>0158-262 75/073-388 78 29</t>
  </si>
  <si>
    <t>Hemköp Grums Orrby</t>
  </si>
  <si>
    <t>Orrkullegatan 2</t>
  </si>
  <si>
    <t>64 31 Grums</t>
  </si>
  <si>
    <t>0555-430 40</t>
  </si>
  <si>
    <t>Krister Lennartsson</t>
  </si>
  <si>
    <t>070-2390388</t>
  </si>
  <si>
    <t>krister.lennartsson@hemkop.se</t>
  </si>
  <si>
    <t>664 31 Grums</t>
  </si>
  <si>
    <t>559520-6474</t>
  </si>
  <si>
    <t>HK Grums AB</t>
  </si>
  <si>
    <t>Hemköp Grästorp Södergatan</t>
  </si>
  <si>
    <t>Södergatan 27</t>
  </si>
  <si>
    <t>467 30 Grästorp</t>
  </si>
  <si>
    <t>0514-589 99</t>
  </si>
  <si>
    <t>Andreas Lindahl</t>
  </si>
  <si>
    <t>073-0373849</t>
  </si>
  <si>
    <t>andreas.lindahl@hemkop.se</t>
  </si>
  <si>
    <t>Sofie Nilsson</t>
  </si>
  <si>
    <t>556137-8679</t>
  </si>
  <si>
    <t>Lindahls Vinstköp AB</t>
  </si>
  <si>
    <t xml:space="preserve">0514-58999 </t>
  </si>
  <si>
    <t>Hemköp Gustavsberg Hamnen</t>
  </si>
  <si>
    <t>Odelsbergs väg 1</t>
  </si>
  <si>
    <t>134 40 Gustavsberg</t>
  </si>
  <si>
    <t>08-570 35 650</t>
  </si>
  <si>
    <t>Stephan Johnsson</t>
  </si>
  <si>
    <t>070-7294916</t>
  </si>
  <si>
    <t>stephan@affarsbyggarna.se;anders@affarsbyggarna.se; david.valentin@hemkop.se</t>
  </si>
  <si>
    <t>David Valentin</t>
  </si>
  <si>
    <t>0704 32 36 14</t>
  </si>
  <si>
    <t>556910-7799</t>
  </si>
  <si>
    <t>Hamnens Livs AB</t>
  </si>
  <si>
    <t>073-716 16 88</t>
  </si>
  <si>
    <t>Hemköp Göteborg Annedal</t>
  </si>
  <si>
    <t>Brunnsgatan 5</t>
  </si>
  <si>
    <t>413 12 Göteborg</t>
  </si>
  <si>
    <t>031-41 86 05</t>
  </si>
  <si>
    <t>Ulf Törnestrand</t>
  </si>
  <si>
    <t>070-8117298</t>
  </si>
  <si>
    <t>ulf.tornestrand@hemkop.se</t>
  </si>
  <si>
    <t>Antonia Törnerstrand</t>
  </si>
  <si>
    <t>556235-3150</t>
  </si>
  <si>
    <t>Ulf Törnestrand AB</t>
  </si>
  <si>
    <t>031-41 86 05 ank 613</t>
  </si>
  <si>
    <t>Hemköp Göteborg Frölunda Torg</t>
  </si>
  <si>
    <t>Göteborg Egenägd</t>
  </si>
  <si>
    <t>Marconigatan lastkaj 10</t>
  </si>
  <si>
    <t>421 44 Västra Frölunda</t>
  </si>
  <si>
    <t>031-734 36 00</t>
  </si>
  <si>
    <t>Annika Pantzar</t>
  </si>
  <si>
    <t>010-4744353</t>
  </si>
  <si>
    <t>butikschef.hemkopgoteborgfrolundatorg.4353@hemkop.se</t>
  </si>
  <si>
    <t>0761 09 06 17</t>
  </si>
  <si>
    <t>031-734 36 28</t>
  </si>
  <si>
    <t>Hemköp Göteborg Guldheden</t>
  </si>
  <si>
    <t>Dr Fries torg</t>
  </si>
  <si>
    <t>413 23 Göteborg</t>
  </si>
  <si>
    <t>031-82 25 06</t>
  </si>
  <si>
    <t>Fredrik Pehrson</t>
  </si>
  <si>
    <t>010-4744264</t>
  </si>
  <si>
    <t>butikschef.hemkopgoteborgguldheden.4264@hemkop.se</t>
  </si>
  <si>
    <t>556068-3509</t>
  </si>
  <si>
    <t>AB Jiffy</t>
  </si>
  <si>
    <t>070-4805946</t>
  </si>
  <si>
    <t>Hemköp Göteborg Högsbohöjd</t>
  </si>
  <si>
    <t>Fyrktorget 1</t>
  </si>
  <si>
    <t>414 83 Göteborg</t>
  </si>
  <si>
    <t>031-41 41 16</t>
  </si>
  <si>
    <t>Hans Sahlman</t>
  </si>
  <si>
    <t xml:space="preserve">072-8570088 </t>
  </si>
  <si>
    <t>hans.sahlman@hemkop.se</t>
  </si>
  <si>
    <t>Ture Millbom Gustavsson</t>
  </si>
  <si>
    <t>0761 72 21 00</t>
  </si>
  <si>
    <t>556655-3367</t>
  </si>
  <si>
    <t>Högsbohöjds Livs AB</t>
  </si>
  <si>
    <t xml:space="preserve">073-707 32 51 </t>
  </si>
  <si>
    <t>Hemköp Göteborg Kortedala Torg</t>
  </si>
  <si>
    <t>Kortedala Torg 9</t>
  </si>
  <si>
    <t>415 10 Göteborg</t>
  </si>
  <si>
    <t>031-43 06 70</t>
  </si>
  <si>
    <t>Jeanette Andersson</t>
  </si>
  <si>
    <t>010-4744146</t>
  </si>
  <si>
    <t>butikschef.hemkopgoteborgkortedalatorg.4146@hemkop.se</t>
  </si>
  <si>
    <t>0761 09 06 19</t>
  </si>
  <si>
    <t>Hemköp Göteborg Linnégatan</t>
  </si>
  <si>
    <t>Linnégatan 36A</t>
  </si>
  <si>
    <t>413 04 Göteborg</t>
  </si>
  <si>
    <t>031-42 17 57</t>
  </si>
  <si>
    <t>Jonas Scherp</t>
  </si>
  <si>
    <t>0705 66 68 33</t>
  </si>
  <si>
    <t>556572-4506</t>
  </si>
  <si>
    <t>Citybutikerna i Göteborg AB</t>
  </si>
  <si>
    <t>Hemköp Göteborg Lundby Park</t>
  </si>
  <si>
    <t>Hjalmar Brantingsgatan 108</t>
  </si>
  <si>
    <t>417 11 Göteborg</t>
  </si>
  <si>
    <t>031-363 69 30</t>
  </si>
  <si>
    <t>Jennifer Berggren</t>
  </si>
  <si>
    <t>010-4744222</t>
  </si>
  <si>
    <t>butikschef.hemkopgoteborglundbypark.4222@hemkop.se</t>
  </si>
  <si>
    <t>0761 09 0648</t>
  </si>
  <si>
    <t>Rosenapelgatan 38</t>
  </si>
  <si>
    <t>Hemköp Göteborg Långedrag</t>
  </si>
  <si>
    <t>Redegatan 9</t>
  </si>
  <si>
    <t>426 77 Västra Frölunda</t>
  </si>
  <si>
    <t>031-769 03 00</t>
  </si>
  <si>
    <t>Robin Svensson</t>
  </si>
  <si>
    <t>072-2724566</t>
  </si>
  <si>
    <t>556720-2105</t>
  </si>
  <si>
    <t>Redergatans Livs AB</t>
  </si>
  <si>
    <t>031-769 03 00/073-707 03 08</t>
  </si>
  <si>
    <t>Hemköp Göteborg Majorna</t>
  </si>
  <si>
    <t>Kustgatan 14</t>
  </si>
  <si>
    <t>414 55 Göteborg</t>
  </si>
  <si>
    <t>031-14 02 60</t>
  </si>
  <si>
    <t>Robert Larsson</t>
  </si>
  <si>
    <t>031-140260</t>
  </si>
  <si>
    <t>556336-6326</t>
  </si>
  <si>
    <t>Matmästaren Terningen i Göteborg Aktiebolag</t>
  </si>
  <si>
    <t xml:space="preserve">073-632 43 57 </t>
  </si>
  <si>
    <t>Hemköp Göteborg Masthuggstorget</t>
  </si>
  <si>
    <t>Masthuggstorget 3A</t>
  </si>
  <si>
    <t>413 27 Göteborg</t>
  </si>
  <si>
    <t>031-85 66 30</t>
  </si>
  <si>
    <t>Andreas Kent</t>
  </si>
  <si>
    <t>0709 14 05 13</t>
  </si>
  <si>
    <t>556682-6276</t>
  </si>
  <si>
    <t>Citybutikerna Direkt i Göteborg AB</t>
  </si>
  <si>
    <t>070- 742 72 01</t>
  </si>
  <si>
    <t>Hemköp Göteborg Nordenskiöldsgatan</t>
  </si>
  <si>
    <t>Nordenskiöldsgatan 13-17</t>
  </si>
  <si>
    <t>413 09 Göteborg</t>
  </si>
  <si>
    <t>031-24 62 42</t>
  </si>
  <si>
    <t>Ola Andersson</t>
  </si>
  <si>
    <t>070-4805947</t>
  </si>
  <si>
    <t>ola.andersson1@hemkop.se</t>
  </si>
  <si>
    <t>556057-8097</t>
  </si>
  <si>
    <t>Abama AB</t>
  </si>
  <si>
    <t>070-480 59 47</t>
  </si>
  <si>
    <t>Hemköp Göteborg Nordstan</t>
  </si>
  <si>
    <t>Östra Hamngatan 20</t>
  </si>
  <si>
    <t>411 09 Göteborg</t>
  </si>
  <si>
    <t>031-63 66 30</t>
  </si>
  <si>
    <t>Mikael Pettersson</t>
  </si>
  <si>
    <t>010-4744269</t>
  </si>
  <si>
    <t>butikschef.hemkopgoteborgnordstan.4269@hemkop.se</t>
  </si>
  <si>
    <t>0761 09 06 20</t>
  </si>
  <si>
    <t>Ö.Hamngatan</t>
  </si>
  <si>
    <t>Ö.Hamng. 18 Lastkaj 6</t>
  </si>
  <si>
    <t>Hemköp Göteborg Opaltorget</t>
  </si>
  <si>
    <t>Opaltorget 11</t>
  </si>
  <si>
    <t>421 62 Västra Frölunda</t>
  </si>
  <si>
    <t>031-36 36 680</t>
  </si>
  <si>
    <t>Anna Rakic</t>
  </si>
  <si>
    <t>010-4744205</t>
  </si>
  <si>
    <t>butikschef.hemkopgoteborgopaltorget.4219@hemkop.se</t>
  </si>
  <si>
    <t>0761 40 61 79</t>
  </si>
  <si>
    <t>Opalgatan 79 A</t>
  </si>
  <si>
    <t>Hemköp Göteborg Selma Lagerlöfs Torg</t>
  </si>
  <si>
    <t>Selma Lagerlöfs Torg 3</t>
  </si>
  <si>
    <t>422 48 Hisings Backa</t>
  </si>
  <si>
    <t>031-787 22 60</t>
  </si>
  <si>
    <t>Krister Blom</t>
  </si>
  <si>
    <t>010-4744360</t>
  </si>
  <si>
    <t>butikschef.hemkopgoteborgselmalagerlofstorg.4360@hemkop.se</t>
  </si>
  <si>
    <t>0761 09 06 21</t>
  </si>
  <si>
    <t>Backadalen 25</t>
  </si>
  <si>
    <t>Selma lagerlöfs Torg 3</t>
  </si>
  <si>
    <t>Hemköp Göteborg Stigbergstorget</t>
  </si>
  <si>
    <t>Stigbergstorget 6</t>
  </si>
  <si>
    <t>414 63 Göteborg</t>
  </si>
  <si>
    <t>031-704 51 00</t>
  </si>
  <si>
    <t>Raine De Boer</t>
  </si>
  <si>
    <t>010-4744349</t>
  </si>
  <si>
    <t>butikschef.hemkopgoteborgstigbergstorget.4349@hemkop.se</t>
  </si>
  <si>
    <t>0761 09 06 22</t>
  </si>
  <si>
    <t>Hemköp Göteborg Torslanda C</t>
  </si>
  <si>
    <t>Torslanda Torg</t>
  </si>
  <si>
    <t>423 21 Torslanda</t>
  </si>
  <si>
    <t>031-56 76 40</t>
  </si>
  <si>
    <t>Thomas Axell</t>
  </si>
  <si>
    <t xml:space="preserve">070-5505796 </t>
  </si>
  <si>
    <t>thomas.axell@hemkop.se</t>
  </si>
  <si>
    <t xml:space="preserve">Fredrik Magneson </t>
  </si>
  <si>
    <t>073-388 80 74</t>
  </si>
  <si>
    <t>559064-0941</t>
  </si>
  <si>
    <t>Mataffären i Torslanda AB</t>
  </si>
  <si>
    <t>031- 56 76 40</t>
  </si>
  <si>
    <t>Hemköp Göteborg Vasagatan</t>
  </si>
  <si>
    <t>Vasagatan 30</t>
  </si>
  <si>
    <t>411 24 Göteborg</t>
  </si>
  <si>
    <t>031-17 04 05</t>
  </si>
  <si>
    <t>Mikael Hellberg</t>
  </si>
  <si>
    <t>073-3300814</t>
  </si>
  <si>
    <t>michael.hellberg@hemkop.se</t>
  </si>
  <si>
    <t xml:space="preserve">Miranda Amilon </t>
  </si>
  <si>
    <t>556780-7069</t>
  </si>
  <si>
    <t>Hellberg &amp; Jagebro Livs AB</t>
  </si>
  <si>
    <t>Hemköp Halmstad C</t>
  </si>
  <si>
    <t>Syd Egenägd</t>
  </si>
  <si>
    <t>Köpmansgatan 13</t>
  </si>
  <si>
    <t>302 42 Halmstad</t>
  </si>
  <si>
    <t>035-21 83 45</t>
  </si>
  <si>
    <t>Jörgen Westman</t>
  </si>
  <si>
    <t>010-4744245</t>
  </si>
  <si>
    <t>butikschef.hemkophalmstadc.4245@hemkop.se</t>
  </si>
  <si>
    <t>0761 09 06 25</t>
  </si>
  <si>
    <t>Klammerdammsgatan 11-13</t>
  </si>
  <si>
    <t>070-510 82 40</t>
  </si>
  <si>
    <t xml:space="preserve">Hemköp Haninge C </t>
  </si>
  <si>
    <t>Stores Gränd 26</t>
  </si>
  <si>
    <t>136 46 Haninge</t>
  </si>
  <si>
    <t>08-448 58 30</t>
  </si>
  <si>
    <t>Stefan Utvik</t>
  </si>
  <si>
    <t>010-4744189</t>
  </si>
  <si>
    <t>butikschef.hemkophaningec.4189@hemkop.se</t>
  </si>
  <si>
    <t>0761 35 72 73</t>
  </si>
  <si>
    <t>08- 448 58 30</t>
  </si>
  <si>
    <t>Hemköp Haninge Vega</t>
  </si>
  <si>
    <t xml:space="preserve">Vega allé 2 </t>
  </si>
  <si>
    <t>136 47 Haninge</t>
  </si>
  <si>
    <t>08-400 771 20</t>
  </si>
  <si>
    <t>Camilla Sundheden / Jimmy Fågelqvist</t>
  </si>
  <si>
    <t>073-9240379</t>
  </si>
  <si>
    <t>camilla.sundheden@hemkop.se</t>
  </si>
  <si>
    <t>Camilla Sundheden</t>
  </si>
  <si>
    <t>073-924 03 79</t>
  </si>
  <si>
    <t>Vega allé 2</t>
  </si>
  <si>
    <t>559286-4259</t>
  </si>
  <si>
    <t>Vega Matmarknad AB</t>
  </si>
  <si>
    <t>Hemköp Haverdal Klövervägen</t>
  </si>
  <si>
    <t>Klövervägen 1A</t>
  </si>
  <si>
    <t>310 42 Haverdal</t>
  </si>
  <si>
    <t>035-520 57</t>
  </si>
  <si>
    <t>Magnus Kock</t>
  </si>
  <si>
    <t>070-6810900</t>
  </si>
  <si>
    <t>magnus.kock@hemkop.se</t>
  </si>
  <si>
    <t>Box 31, Klövervägen</t>
  </si>
  <si>
    <t>556233-1040</t>
  </si>
  <si>
    <t>Ankaret i Haverdal AB</t>
  </si>
  <si>
    <t>Hemköp Hedemora Gussarvet</t>
  </si>
  <si>
    <t>Gussvarvsgatan 23</t>
  </si>
  <si>
    <t>776 33 Hedemora</t>
  </si>
  <si>
    <t>0225-122 40</t>
  </si>
  <si>
    <t>Terese Awen</t>
  </si>
  <si>
    <t>010-4744263</t>
  </si>
  <si>
    <t>butikschef.hemkophedemoragussarvet.4263@hemkop.se</t>
  </si>
  <si>
    <t>0761 09 06 27</t>
  </si>
  <si>
    <t>Gussarvsgatan 23</t>
  </si>
  <si>
    <t>Melinsg. 14,</t>
  </si>
  <si>
    <t>776 21 Hedemora</t>
  </si>
  <si>
    <t>Hemköp Helsingborg Laröd</t>
  </si>
  <si>
    <t>Serpentinvägen 7</t>
  </si>
  <si>
    <t>254 82 Helsingborg</t>
  </si>
  <si>
    <t>042-927 30</t>
  </si>
  <si>
    <t>Krasimir Radev</t>
  </si>
  <si>
    <t>070-2953317</t>
  </si>
  <si>
    <t>krasimir.radev@hemkop.se</t>
  </si>
  <si>
    <t>Serpentinvägen 3</t>
  </si>
  <si>
    <t>252 84 Helsingborg</t>
  </si>
  <si>
    <t>556178-6111</t>
  </si>
  <si>
    <t>Matesset AB</t>
  </si>
  <si>
    <t>Hemköp Helsingborg Rydebäck</t>
  </si>
  <si>
    <t>Frösögatan 7</t>
  </si>
  <si>
    <t>257 30 Rydebäck</t>
  </si>
  <si>
    <t>042-22 13 73</t>
  </si>
  <si>
    <t>Henrik Liljedahl</t>
  </si>
  <si>
    <t>072-5296950</t>
  </si>
  <si>
    <t>henrik.liljedahl@hemkop.se</t>
  </si>
  <si>
    <t>556673-7051</t>
  </si>
  <si>
    <t>Kattesund Livs AB</t>
  </si>
  <si>
    <t>Hemköp Helsingborg Stattena C</t>
  </si>
  <si>
    <t>Stattena Centrum 6</t>
  </si>
  <si>
    <t>254 44 Helsingborg</t>
  </si>
  <si>
    <t>042-12 00 70</t>
  </si>
  <si>
    <t>Asim Dibrani</t>
  </si>
  <si>
    <t>010-4744293</t>
  </si>
  <si>
    <t>butikschef.hemkophelsingborgstattenac.4293@hemkop.se</t>
  </si>
  <si>
    <t>0761 09 06 28</t>
  </si>
  <si>
    <t>Stattena centrum 6</t>
  </si>
  <si>
    <t>Nelly Krooksg 2</t>
  </si>
  <si>
    <t>250 07 Helsingborg</t>
  </si>
  <si>
    <t>Hemköp Helsingborg Söder</t>
  </si>
  <si>
    <t>Nedre Holländargatan 7</t>
  </si>
  <si>
    <t>252 25  Helsingborg</t>
  </si>
  <si>
    <t>042-442 53 10</t>
  </si>
  <si>
    <t>Emil Appelgren</t>
  </si>
  <si>
    <t>010-4744214</t>
  </si>
  <si>
    <t>butikschef.hemkophelsingborgsoder.4214@hemkop.se</t>
  </si>
  <si>
    <t>0722 46 13 64</t>
  </si>
  <si>
    <t>Hemköp Herrljunga C</t>
  </si>
  <si>
    <t>Östra Parkgatan 1</t>
  </si>
  <si>
    <t>524 30 Herrljunga</t>
  </si>
  <si>
    <t>0513-100 24</t>
  </si>
  <si>
    <t xml:space="preserve">Anna och Peter Gunnarsson/ Richard Wartmark </t>
  </si>
  <si>
    <t>070-9922209 / 070 3726894/076-8119231</t>
  </si>
  <si>
    <t>anna.gunnarsson@hemkop.se ; peter.gunnarsson@hemkop.se ; richard.wartmark@hemkop.se</t>
  </si>
  <si>
    <t>556307-3062</t>
  </si>
  <si>
    <t>Herrljunga City Livs AB</t>
  </si>
  <si>
    <t>Hemköp Huddinge C</t>
  </si>
  <si>
    <t>Forellvägen 14</t>
  </si>
  <si>
    <t>141 47 Huddinge</t>
  </si>
  <si>
    <t>08-449 84 40</t>
  </si>
  <si>
    <t>frank.thelin@hemkop.se; erik.thelin@hemkop.se</t>
  </si>
  <si>
    <t>Erik Thelin</t>
  </si>
  <si>
    <t>070-2298450</t>
  </si>
  <si>
    <t>556261-9998</t>
  </si>
  <si>
    <t>Foodmarket i Stockholm AB</t>
  </si>
  <si>
    <t>08 449 84 54</t>
  </si>
  <si>
    <t>Hemköp Huddinge Matbörsen</t>
  </si>
  <si>
    <t>Kallkärrsvägen 66</t>
  </si>
  <si>
    <t>141 41 Huddinge</t>
  </si>
  <si>
    <t>08-449 34 05</t>
  </si>
  <si>
    <t>frank.thelin@hemkop.se; lennart.strom@hemkop.se</t>
  </si>
  <si>
    <t>Lennart Ström</t>
  </si>
  <si>
    <t>556761-0414</t>
  </si>
  <si>
    <t>Foodmarket i Snättringe AB</t>
  </si>
  <si>
    <t>08 449 34 05</t>
  </si>
  <si>
    <t>Hemköp Hudiksvall C</t>
  </si>
  <si>
    <t>V. Tullgatan 13</t>
  </si>
  <si>
    <t>824 30 Hudiksvall</t>
  </si>
  <si>
    <t>0650-188 90</t>
  </si>
  <si>
    <t>Carina Hermansson</t>
  </si>
  <si>
    <t>010-4744131</t>
  </si>
  <si>
    <t>butikschef.hemkophudiksvallc.4131@hemkop.se</t>
  </si>
  <si>
    <t>0761 09 06 29</t>
  </si>
  <si>
    <t>Hemköp Härnösand C</t>
  </si>
  <si>
    <t>Storgatan 26</t>
  </si>
  <si>
    <t>871 31 Härnösand</t>
  </si>
  <si>
    <t>0611-131 75</t>
  </si>
  <si>
    <t>Daniel Moberg</t>
  </si>
  <si>
    <t>010-4744252</t>
  </si>
  <si>
    <t>butikschef.hemkopharnosandc.4252@hemkop.se</t>
  </si>
  <si>
    <t>076-0820485</t>
  </si>
  <si>
    <t>Hemköp Insjön Hjultorget</t>
  </si>
  <si>
    <t>Hjultorget 30</t>
  </si>
  <si>
    <t>793 41 Insjön</t>
  </si>
  <si>
    <t>0247-79 20 50</t>
  </si>
  <si>
    <t>Daniel Harutun</t>
  </si>
  <si>
    <t>070-3601595</t>
  </si>
  <si>
    <t>daniel.harutun@hemkop.se</t>
  </si>
  <si>
    <t>556861-4290</t>
  </si>
  <si>
    <t>Mathuset Hjultorget AB</t>
  </si>
  <si>
    <t>0247-79 20 50/076-790 43 20</t>
  </si>
  <si>
    <t xml:space="preserve">Hemköp Jakobsberg </t>
  </si>
  <si>
    <t>Riddarplatsen 14</t>
  </si>
  <si>
    <t>177 30 Järfälla</t>
  </si>
  <si>
    <t>08-584 00 850</t>
  </si>
  <si>
    <t>Sandra Stendalen</t>
  </si>
  <si>
    <t>010-4744119</t>
  </si>
  <si>
    <t>butikschef.hemkopjakobsbergc.4119@hemkop.se</t>
  </si>
  <si>
    <t>0761 09 06 31</t>
  </si>
  <si>
    <t>08-584 008 50</t>
  </si>
  <si>
    <t>Hemköp Järfälla Barkarbystaden</t>
  </si>
  <si>
    <t>Barkarbyvägen 120</t>
  </si>
  <si>
    <t>177 47 Järfälla</t>
  </si>
  <si>
    <t>08-124 355 50</t>
  </si>
  <si>
    <t>Christos Aidonidos</t>
  </si>
  <si>
    <t>010-4744230</t>
  </si>
  <si>
    <t>butikschef.hemkopjarfallabarkarbystaden.4230@hemkop.se</t>
  </si>
  <si>
    <t>076-7815560</t>
  </si>
  <si>
    <t>Jaktfalksgatan 5</t>
  </si>
  <si>
    <t>177 67 Järfälla</t>
  </si>
  <si>
    <t>Hemköp Järfälla Stäket</t>
  </si>
  <si>
    <t>Skarprättarvägen 36-38</t>
  </si>
  <si>
    <t>176 77 Järfälla</t>
  </si>
  <si>
    <t>08-584 907 40</t>
  </si>
  <si>
    <t>Lava Abdulkadir</t>
  </si>
  <si>
    <t>010-4744111</t>
  </si>
  <si>
    <t>butikschef.hemkopjarfallastaket.4111@hemkop.se</t>
  </si>
  <si>
    <t>0761 09 06 62</t>
  </si>
  <si>
    <t>08-584 907 48</t>
  </si>
  <si>
    <t>Hemköp Jönköping C</t>
  </si>
  <si>
    <t>Barnarpsgatan 10</t>
  </si>
  <si>
    <t>553 16 Jönköping</t>
  </si>
  <si>
    <t>036-715 467-68</t>
  </si>
  <si>
    <t>Oscar Zandén</t>
  </si>
  <si>
    <t>073-3443307</t>
  </si>
  <si>
    <t>oscar.zanden@hemkop.se</t>
  </si>
  <si>
    <t>Barnarpsg. 10</t>
  </si>
  <si>
    <t>556785-7973</t>
  </si>
  <si>
    <t>CO Zandén AB</t>
  </si>
  <si>
    <t>Hemköp Jönköping Munksjöstaden</t>
  </si>
  <si>
    <t>Vaggerydsgatan 17</t>
  </si>
  <si>
    <t>553 30 Jönköping</t>
  </si>
  <si>
    <t>036-331 11 80</t>
  </si>
  <si>
    <t>Nathalie Nero</t>
  </si>
  <si>
    <t>010-4744208</t>
  </si>
  <si>
    <t>butikschef.hemkopjonkopingmunksjostaden.4208@hemkop.se</t>
  </si>
  <si>
    <t>0722 36 20 27</t>
  </si>
  <si>
    <t>Vaggerydsgatan 21</t>
  </si>
  <si>
    <t>Hemköp Kalmar Kvarnholmen</t>
  </si>
  <si>
    <t>Fiskaregatan 43</t>
  </si>
  <si>
    <t>392 48 Kalmar</t>
  </si>
  <si>
    <t>0480-334 630</t>
  </si>
  <si>
    <t>Jenni  Bremer</t>
  </si>
  <si>
    <t>010-4744207</t>
  </si>
  <si>
    <t>butikschef.hemkopkalmarkvarnholmen.4207@hemkop.se</t>
  </si>
  <si>
    <t>0768 32 88 97</t>
  </si>
  <si>
    <t>Strömgatan 20</t>
  </si>
  <si>
    <t>Hemköp Karlskrona C</t>
  </si>
  <si>
    <t>Ronnebygatan 34-36</t>
  </si>
  <si>
    <t>371 33 Karlskrona</t>
  </si>
  <si>
    <t>0455-291 10</t>
  </si>
  <si>
    <t>Karl-Johan Samuelsson, Fredrik Samuelsson</t>
  </si>
  <si>
    <t>070-9902545</t>
  </si>
  <si>
    <t>karl-johan.samuelsson@hemkop.se;fredrik.samuelsson@hemkop.se</t>
  </si>
  <si>
    <t>556563-7583</t>
  </si>
  <si>
    <t>ESSÅSA AB</t>
  </si>
  <si>
    <t>Hemköp Karlstad C</t>
  </si>
  <si>
    <t>Drottninggatan 33</t>
  </si>
  <si>
    <t>652 25 Karlstad</t>
  </si>
  <si>
    <t>054-15 22 00</t>
  </si>
  <si>
    <t>Jesper Haag</t>
  </si>
  <si>
    <t>076-8695939</t>
  </si>
  <si>
    <t>jesper.haag@hemkop.se</t>
  </si>
  <si>
    <t>076-869 59 39</t>
  </si>
  <si>
    <t>Drottningg 33</t>
  </si>
  <si>
    <t>559380-0310</t>
  </si>
  <si>
    <t>Haags Förvaltning AB</t>
  </si>
  <si>
    <t>Hemköp Kinna C</t>
  </si>
  <si>
    <t>Stationsgatan 1</t>
  </si>
  <si>
    <t>511 54 Kinna</t>
  </si>
  <si>
    <t>0320-120 35</t>
  </si>
  <si>
    <t>Stefan Jagebro</t>
  </si>
  <si>
    <t>070-3140744</t>
  </si>
  <si>
    <t>stefan.jagebro@hemkop.se</t>
  </si>
  <si>
    <t>556681-6459</t>
  </si>
  <si>
    <t>Hellberg &amp; Jagerbro Livs AB</t>
  </si>
  <si>
    <t>Hemköp Kisa C</t>
  </si>
  <si>
    <t>Torggatan 6</t>
  </si>
  <si>
    <t>590 40 Kisa</t>
  </si>
  <si>
    <t>0494-100 15</t>
  </si>
  <si>
    <t>Leif Johansson</t>
  </si>
  <si>
    <t>070-2993558</t>
  </si>
  <si>
    <t>leif.johansson@hemkop.se</t>
  </si>
  <si>
    <t>556183-9860</t>
  </si>
  <si>
    <t>LJ Livs AB</t>
  </si>
  <si>
    <t>Hemköp Kolbäck C</t>
  </si>
  <si>
    <t>Linneatorget 4</t>
  </si>
  <si>
    <t>730 40 Kolbäck</t>
  </si>
  <si>
    <t>0220-455 90</t>
  </si>
  <si>
    <t>Cecilia Cers</t>
  </si>
  <si>
    <t>070-2101378</t>
  </si>
  <si>
    <t>cecilia.cers@hemkop.se</t>
  </si>
  <si>
    <t>Box 4, Linneatorget 4</t>
  </si>
  <si>
    <t>556564-6303</t>
  </si>
  <si>
    <t>Livs i Kubik i Kolbäck AB</t>
  </si>
  <si>
    <t>Hemköp Kullavik C</t>
  </si>
  <si>
    <t>Kullaviks Centrum</t>
  </si>
  <si>
    <t>429 30 Kullavik</t>
  </si>
  <si>
    <t>031-93 00 68</t>
  </si>
  <si>
    <t>Daniel Quist/Andreas Quist</t>
  </si>
  <si>
    <t>073-5330875 / 073-5330876</t>
  </si>
  <si>
    <t>daniel.quist@hemkop.se;andreas.quist@hemkop.se</t>
  </si>
  <si>
    <t>559258-5300</t>
  </si>
  <si>
    <t>Kullaviks Stormarknad AB</t>
  </si>
  <si>
    <t>Hemköp Kungsbacka Billdal</t>
  </si>
  <si>
    <t>Kungsporten 6 B</t>
  </si>
  <si>
    <t>427 50 Billdal</t>
  </si>
  <si>
    <t>031-93 92 50</t>
  </si>
  <si>
    <t>Andreas Quist</t>
  </si>
  <si>
    <t>0735 33 08 76</t>
  </si>
  <si>
    <t>556961-7474</t>
  </si>
  <si>
    <t>Billdals stormarknad AB</t>
  </si>
  <si>
    <t>031- 93 92 50/0702-21 26 35</t>
  </si>
  <si>
    <t>Hemköp Kungsbacka Hålabäck</t>
  </si>
  <si>
    <t>Blomstergatan 4</t>
  </si>
  <si>
    <t>434 43 Kungsbacka</t>
  </si>
  <si>
    <t>0300-134 55</t>
  </si>
  <si>
    <t>Johannes Ekström</t>
  </si>
  <si>
    <t>070-8769103</t>
  </si>
  <si>
    <t>johannes.ekstrom@hemkop.se</t>
  </si>
  <si>
    <t>556934-7197</t>
  </si>
  <si>
    <t>Hålabäcks Matcenter AB</t>
  </si>
  <si>
    <t>Hemköp Kungsbacka Torget</t>
  </si>
  <si>
    <t>Södra Torgg 16</t>
  </si>
  <si>
    <t>434 30 Kungsbacka</t>
  </si>
  <si>
    <t>0300-56 61 80</t>
  </si>
  <si>
    <t>070 -8769103</t>
  </si>
  <si>
    <t>556901-9291</t>
  </si>
  <si>
    <t>Matcenter i kungsbacka AB</t>
  </si>
  <si>
    <t>Hemköp Köping C</t>
  </si>
  <si>
    <t>Stora Gatan 16</t>
  </si>
  <si>
    <t>731 30 Köping</t>
  </si>
  <si>
    <t>0221-276 51</t>
  </si>
  <si>
    <t>Magnus Skjärlund</t>
  </si>
  <si>
    <t>072-5055007</t>
  </si>
  <si>
    <t>magnus.skjarlund@hemkop.se</t>
  </si>
  <si>
    <t>556931-3629</t>
  </si>
  <si>
    <t>Mköp Köping AB</t>
  </si>
  <si>
    <t>Hemköp Leksand C</t>
  </si>
  <si>
    <t>Hantverkaregatan 19</t>
  </si>
  <si>
    <t>793 30 Leksand</t>
  </si>
  <si>
    <t>0247-129 10</t>
  </si>
  <si>
    <t>Torbjörn Bengtsen</t>
  </si>
  <si>
    <t>010-4744142</t>
  </si>
  <si>
    <t>butikschef.hemkopleksandc.4142@hemkop.se</t>
  </si>
  <si>
    <t>0761 09 06 40</t>
  </si>
  <si>
    <t>Leksandsvägen 24</t>
  </si>
  <si>
    <t>Leksandsv. 24</t>
  </si>
  <si>
    <t>Hemköp Lerum</t>
  </si>
  <si>
    <t xml:space="preserve">Adeltorpsvägen 6-8 </t>
  </si>
  <si>
    <t>443 30 Lerum</t>
  </si>
  <si>
    <t>0302-524 444</t>
  </si>
  <si>
    <t>Fredrik Lindqvist</t>
  </si>
  <si>
    <t>070-8314631</t>
  </si>
  <si>
    <t>fredrik.lindqvist@hemkop.se</t>
  </si>
  <si>
    <t>559229-8904</t>
  </si>
  <si>
    <t>Hemköp i Lerum AB</t>
  </si>
  <si>
    <t xml:space="preserve">Hemköp Lidingö Brevik </t>
  </si>
  <si>
    <t>Södra Kungsvägen 240</t>
  </si>
  <si>
    <t>181 62 Lidingö</t>
  </si>
  <si>
    <t>08-766 00 30</t>
  </si>
  <si>
    <t>Andreas Gruber</t>
  </si>
  <si>
    <t>073-5017901</t>
  </si>
  <si>
    <t>andreas.gruber@hemkop.se ; linda.cederblad@hemkop.se</t>
  </si>
  <si>
    <t>Linda Cederblad</t>
  </si>
  <si>
    <t>556872-0220</t>
  </si>
  <si>
    <t>TJ &amp; AG Livsmedel AB</t>
  </si>
  <si>
    <t xml:space="preserve">08-766 0030 </t>
  </si>
  <si>
    <t>Hemköp Lidköping C</t>
  </si>
  <si>
    <t>Norra Torngatan 24</t>
  </si>
  <si>
    <t>531 31 Lidköping</t>
  </si>
  <si>
    <t>0510-202 01</t>
  </si>
  <si>
    <t xml:space="preserve">Stina Fahlgren </t>
  </si>
  <si>
    <t>010-4744228</t>
  </si>
  <si>
    <t>butikschef.hemkoplidkopingc.4228@hemkop.se</t>
  </si>
  <si>
    <t>0761 46 24 62</t>
  </si>
  <si>
    <t xml:space="preserve">Hemköpskedjan AB </t>
  </si>
  <si>
    <t>073-053 06 07</t>
  </si>
  <si>
    <t>Hemköp Lindesberg Bergslagsvägen</t>
  </si>
  <si>
    <t>Bergslagsvägen 3</t>
  </si>
  <si>
    <t>0581-886 66</t>
  </si>
  <si>
    <t>Johan Eriksson</t>
  </si>
  <si>
    <t>070-5423488;070-3731380;070-6282726</t>
  </si>
  <si>
    <t>johan.eriksson@hemkop.se;eva.pettersson2@hemkop.se;mattias.johansson2@hemkop.se</t>
  </si>
  <si>
    <t>556708-4511</t>
  </si>
  <si>
    <t>Pejmej AB</t>
  </si>
  <si>
    <t>0581-886 60/070-628 27 26</t>
  </si>
  <si>
    <t>Hemköp Linköping Lucullus</t>
  </si>
  <si>
    <t>Stora Torget 5</t>
  </si>
  <si>
    <t>582 19 Linköping</t>
  </si>
  <si>
    <t>013-12 11 51</t>
  </si>
  <si>
    <t>Andreas Book, Micael Jacobsson</t>
  </si>
  <si>
    <t>076-8787720</t>
  </si>
  <si>
    <t>andreas.book@hemkop.se;micael.jacobsson@hemkop.se</t>
  </si>
  <si>
    <t>556679-7238</t>
  </si>
  <si>
    <t>Matkällarn i Linköping AB</t>
  </si>
  <si>
    <t>Hemköp Linköping Ryd</t>
  </si>
  <si>
    <t>Ryds Centrum</t>
  </si>
  <si>
    <t>584 32 Linköping</t>
  </si>
  <si>
    <t>013-20 34 80</t>
  </si>
  <si>
    <t>Stefan Larsson,Thomas Eriksson</t>
  </si>
  <si>
    <t>010-4744193</t>
  </si>
  <si>
    <t>butikschef.hemkoplinkopingryd.4193@hemkop.se</t>
  </si>
  <si>
    <t>0727 22 33 04 / 072 184 09 91</t>
  </si>
  <si>
    <t>013- 20 34 80</t>
  </si>
  <si>
    <t>Hemköp Linköping Storgatan</t>
  </si>
  <si>
    <t>Storgatan 11A</t>
  </si>
  <si>
    <t>582 23 Linköping</t>
  </si>
  <si>
    <t>013-24 20 70</t>
  </si>
  <si>
    <t>Eva-Lena Nilsson</t>
  </si>
  <si>
    <t>010-4744277</t>
  </si>
  <si>
    <t>butikschef.hemkoplinkopingstorgatan.4277@hemkop.se</t>
  </si>
  <si>
    <t>0761 09 06 41</t>
  </si>
  <si>
    <t>013-242078</t>
  </si>
  <si>
    <t>Hemköp Linköping Tallboda</t>
  </si>
  <si>
    <t>Gränsliden 6</t>
  </si>
  <si>
    <t>582 74 Linköping</t>
  </si>
  <si>
    <t>013-27 05 91</t>
  </si>
  <si>
    <t>Jessica Thellman</t>
  </si>
  <si>
    <t>076-1090613</t>
  </si>
  <si>
    <t>butikschef.hemkoplinkopingtallboda.4225@hemkop.se</t>
  </si>
  <si>
    <t>076 109 06 13</t>
  </si>
  <si>
    <t>Hemköp Linköping Vasastaden</t>
  </si>
  <si>
    <t>Nordengatan 9</t>
  </si>
  <si>
    <t>582 77 Linköping</t>
  </si>
  <si>
    <t>013-311 515</t>
  </si>
  <si>
    <t>B-G Fullmestad,Björn Fullmestad,Fredrik Fullmestad</t>
  </si>
  <si>
    <t>070-5675073</t>
  </si>
  <si>
    <t>bjorn.fullmestad@hemkop.se;fredrik.fullmestad@hemkop.se</t>
  </si>
  <si>
    <t>556533-0445</t>
  </si>
  <si>
    <t>BGF-butikerna i Linköping AB</t>
  </si>
  <si>
    <t>Hemköp Ljungbyhed C</t>
  </si>
  <si>
    <t>Storgatan 8</t>
  </si>
  <si>
    <t>260 70 Ljungbyhed</t>
  </si>
  <si>
    <t>0435-44 10 30</t>
  </si>
  <si>
    <t>Jessica Moline</t>
  </si>
  <si>
    <t>070-2302289</t>
  </si>
  <si>
    <t>jessica.moline@hemkop.se</t>
  </si>
  <si>
    <t>556119-2039</t>
  </si>
  <si>
    <t>Lars &amp; Fias Matbod i L-hed AB</t>
  </si>
  <si>
    <t>Hemköp Ljungsbro C</t>
  </si>
  <si>
    <t>Löjtnantsgatan 2</t>
  </si>
  <si>
    <t>590 60 Ljungsbro</t>
  </si>
  <si>
    <t>013-630 40</t>
  </si>
  <si>
    <t>Patrik Ryding</t>
  </si>
  <si>
    <t>073-6222264</t>
  </si>
  <si>
    <t>info.ljungsbro@hemkop.se</t>
  </si>
  <si>
    <t>556725-9964</t>
  </si>
  <si>
    <t>Ljungsbrohallen Patrik Ryding AB</t>
  </si>
  <si>
    <t>Hemköp Lund Brunnshög</t>
  </si>
  <si>
    <t>Telefonistgatan12</t>
  </si>
  <si>
    <t>224 81  Lund</t>
  </si>
  <si>
    <t>046-654 49 80</t>
  </si>
  <si>
    <t>Joel Blondell</t>
  </si>
  <si>
    <t>010-4744224</t>
  </si>
  <si>
    <t>butikschef.hemkoplundbrunnshog.4224@hemkop.se</t>
  </si>
  <si>
    <t>0730 51 65 44</t>
  </si>
  <si>
    <t>Solbjersvägen 32</t>
  </si>
  <si>
    <t>Telefonistgatan 12</t>
  </si>
  <si>
    <t>224 81 Lund</t>
  </si>
  <si>
    <t>Hemköp Lund Karhögstorg</t>
  </si>
  <si>
    <t>Karhögstorg 2A</t>
  </si>
  <si>
    <t>223 58 Lund</t>
  </si>
  <si>
    <t>046-300 480</t>
  </si>
  <si>
    <t xml:space="preserve">Max Sörensson </t>
  </si>
  <si>
    <t>010-4744123</t>
  </si>
  <si>
    <t>butikschef.hemkoplundkarhogstorg.4123@hemkop.se</t>
  </si>
  <si>
    <t>0761 13 03 66</t>
  </si>
  <si>
    <t>046-30 04 84</t>
  </si>
  <si>
    <t>Hemköp Malmköping Torget</t>
  </si>
  <si>
    <t>Stora Torget</t>
  </si>
  <si>
    <t>642 60 Malmköping</t>
  </si>
  <si>
    <t>0157-20009</t>
  </si>
  <si>
    <t>Fredrik Alexandersson</t>
  </si>
  <si>
    <t>073-9129440</t>
  </si>
  <si>
    <t>fredrik.alexandersson@hemkop.se</t>
  </si>
  <si>
    <t>559011-0572</t>
  </si>
  <si>
    <t>AB PILLERNISSARNAS MAT</t>
  </si>
  <si>
    <t xml:space="preserve">Hemköp Malmö Elinegård </t>
  </si>
  <si>
    <t>Tröskgatan 8</t>
  </si>
  <si>
    <t>216 33 Limhamn</t>
  </si>
  <si>
    <t>040-670 72 30</t>
  </si>
  <si>
    <t>Douglas Liljjekrantz</t>
  </si>
  <si>
    <t>010-4744212</t>
  </si>
  <si>
    <t>butikschef.hemkopmalmoelinegard.4212@hemkop.se</t>
  </si>
  <si>
    <t>0730 63 92 68</t>
  </si>
  <si>
    <t>Hemköp Malmö Kronprinsen</t>
  </si>
  <si>
    <t>Regementsgatan 52</t>
  </si>
  <si>
    <t>217 48 Malmö</t>
  </si>
  <si>
    <t>040-12 43 43</t>
  </si>
  <si>
    <t>Jörgen Fors</t>
  </si>
  <si>
    <t>010-4744115</t>
  </si>
  <si>
    <t>butikschef.hemkopmalmokronprinsen.4114@hemkop.se</t>
  </si>
  <si>
    <t>0761 09 06 44</t>
  </si>
  <si>
    <t>Fågelbacksgatan 11 H</t>
  </si>
  <si>
    <t>040-98 85 31</t>
  </si>
  <si>
    <t>Hemköp Malmö Triangeln</t>
  </si>
  <si>
    <t>Södra Förstadsg. 58</t>
  </si>
  <si>
    <t>211 43 Malmö</t>
  </si>
  <si>
    <t>040-10 34 77</t>
  </si>
  <si>
    <t>Jakob Hofverberg</t>
  </si>
  <si>
    <t>010-4744247</t>
  </si>
  <si>
    <t>butikschef.hemkopmalmotriangeln.4247@hemkop.se</t>
  </si>
  <si>
    <t>0761 09 06 45</t>
  </si>
  <si>
    <t>Södra Förstadsg 58</t>
  </si>
  <si>
    <t>040-10 89 51</t>
  </si>
  <si>
    <t>Hemköp Malmö Värnhem</t>
  </si>
  <si>
    <t>Fredsgatan 12 B</t>
  </si>
  <si>
    <t>212 12 Malmö</t>
  </si>
  <si>
    <t>040-18 90 80</t>
  </si>
  <si>
    <t>Alexander Nilsson</t>
  </si>
  <si>
    <t>010-4744251</t>
  </si>
  <si>
    <t>butikschef.hemkopmalmovarnhem.4199@hemkop.se</t>
  </si>
  <si>
    <t>0761 09 06 46</t>
  </si>
  <si>
    <t>Hemköp Malung C</t>
  </si>
  <si>
    <t>Grönlandsv. 23</t>
  </si>
  <si>
    <t>782 31 Malung</t>
  </si>
  <si>
    <t>0280-125 10</t>
  </si>
  <si>
    <t xml:space="preserve">Anders Kullander </t>
  </si>
  <si>
    <t>070-6966620</t>
  </si>
  <si>
    <t>anders.kullander@hemkop.se</t>
  </si>
  <si>
    <t>556830-7416</t>
  </si>
  <si>
    <t>Kullander Förvaltnings AB</t>
  </si>
  <si>
    <t>0280- 125 10</t>
  </si>
  <si>
    <t>Hemköp Mellerud Kvarnkullen</t>
  </si>
  <si>
    <t>Storgatan 54</t>
  </si>
  <si>
    <t>464 33 Mellerud</t>
  </si>
  <si>
    <t>0530-411 83</t>
  </si>
  <si>
    <t>Stig Carlsson</t>
  </si>
  <si>
    <t>070-5429403</t>
  </si>
  <si>
    <t>stig.carlsson@hemkop.se</t>
  </si>
  <si>
    <t>556188-2985</t>
  </si>
  <si>
    <t>Kvarnkullens Livs i Mellerud AB</t>
  </si>
  <si>
    <t>Hemköp Mellerud Torget</t>
  </si>
  <si>
    <t>Köpmanstorget 3</t>
  </si>
  <si>
    <t>464 31 Mellerud</t>
  </si>
  <si>
    <t>0530-109 05</t>
  </si>
  <si>
    <t>Jonas Pollack</t>
  </si>
  <si>
    <t>073-5118844</t>
  </si>
  <si>
    <t>jonas.pollack@hemkop.se ; madelene.mathiasson@hemkop.se</t>
  </si>
  <si>
    <t>Madelene Mathiasson</t>
  </si>
  <si>
    <t>559013-1230</t>
  </si>
  <si>
    <t>Matglädje i Mellerud AB</t>
  </si>
  <si>
    <t>Hemköp Mjölby Lundby</t>
  </si>
  <si>
    <t>Smålandsvägen 44</t>
  </si>
  <si>
    <t>595 31 Mjölby</t>
  </si>
  <si>
    <t>0142-166 00</t>
  </si>
  <si>
    <t>Åsa Karinkanta</t>
  </si>
  <si>
    <t>070-5575851</t>
  </si>
  <si>
    <t>asa.karinkanta@hemkop.se</t>
  </si>
  <si>
    <t>556269-6822</t>
  </si>
  <si>
    <t>Lundbyhallen AB</t>
  </si>
  <si>
    <t>Hemköp Motala Luxor Center</t>
  </si>
  <si>
    <t>Luxorgatan 1</t>
  </si>
  <si>
    <t>591 39 Motala</t>
  </si>
  <si>
    <t>0141-381390</t>
  </si>
  <si>
    <t>Thomas Samuelsson / Heléne Samuelsson</t>
  </si>
  <si>
    <t>070-2027295</t>
  </si>
  <si>
    <t>thomas.samuelsson@hemkop.se</t>
  </si>
  <si>
    <t>559324-7561</t>
  </si>
  <si>
    <t>Thomat AB</t>
  </si>
  <si>
    <t>Hemköp Munkedal Munkeland</t>
  </si>
  <si>
    <t>Industrivägen 4</t>
  </si>
  <si>
    <t>455 35 Munkedal</t>
  </si>
  <si>
    <t>0524-102 21</t>
  </si>
  <si>
    <t>Frederik Lutmers</t>
  </si>
  <si>
    <t>076-8005500</t>
  </si>
  <si>
    <t>frederik.lutmers@hemkop.se</t>
  </si>
  <si>
    <t xml:space="preserve">Ronja Frisk Ryhage </t>
  </si>
  <si>
    <t>556753-2246</t>
  </si>
  <si>
    <t>Lutmers Livs AB</t>
  </si>
  <si>
    <t>Hemköp Mölndal Bifrost</t>
  </si>
  <si>
    <t>Pinnharvsgatan 11</t>
  </si>
  <si>
    <t>431 47 Mölndal</t>
  </si>
  <si>
    <t>072-713 38 01</t>
  </si>
  <si>
    <t>Björn Fredriksson</t>
  </si>
  <si>
    <t>072-7133801</t>
  </si>
  <si>
    <t>bjorn.fredriksson@hemkop.se</t>
  </si>
  <si>
    <t xml:space="preserve">Olivia Karlsson </t>
  </si>
  <si>
    <t>556588-2718</t>
  </si>
  <si>
    <t>Björn Fredriksson Livs AB</t>
  </si>
  <si>
    <t>Hemköp Mölndal C</t>
  </si>
  <si>
    <t>Brogatan 15</t>
  </si>
  <si>
    <t>431 30 Mölndal</t>
  </si>
  <si>
    <t>031-363 69 50</t>
  </si>
  <si>
    <t>Fredrik Silfver</t>
  </si>
  <si>
    <t>010-474 42 31</t>
  </si>
  <si>
    <t>butikschef.hemkopmolndalc.4231@hemkop.se</t>
  </si>
  <si>
    <t>Broplatsen 10</t>
  </si>
  <si>
    <t>Hemköp Mölnlycke C</t>
  </si>
  <si>
    <t>Ekdalavägen 3</t>
  </si>
  <si>
    <t>435 30 Mölnlycke</t>
  </si>
  <si>
    <t>031-98 51 40</t>
  </si>
  <si>
    <t>Örjan Axen</t>
  </si>
  <si>
    <t>010-4744359</t>
  </si>
  <si>
    <t>butikschef.hemkopmolnlyckec.4359@hemkop.se</t>
  </si>
  <si>
    <t>0761 09 06 49</t>
  </si>
  <si>
    <t>031-985146</t>
  </si>
  <si>
    <t>Hemköp Nacka Forum</t>
  </si>
  <si>
    <t>Koralvägen 2</t>
  </si>
  <si>
    <t>131 53 Nacka</t>
  </si>
  <si>
    <t>08-460 071 70</t>
  </si>
  <si>
    <t>Elin Andersson</t>
  </si>
  <si>
    <t>010-4744201</t>
  </si>
  <si>
    <t>butikschef.hemkopnackaforum.4201@hemkop.se</t>
  </si>
  <si>
    <t>0761 29 58 73</t>
  </si>
  <si>
    <t>Forumvägen 1</t>
  </si>
  <si>
    <t>Hemköp Nacka Sickla</t>
  </si>
  <si>
    <t>Järnvägsgatan 11</t>
  </si>
  <si>
    <t xml:space="preserve">131 54 Nacka </t>
  </si>
  <si>
    <t>08-55760010</t>
  </si>
  <si>
    <t xml:space="preserve">Robert Tingåker </t>
  </si>
  <si>
    <t>070-3339329</t>
  </si>
  <si>
    <t>robert.tingaker@hemkop.se</t>
  </si>
  <si>
    <t>Robert Tingåker</t>
  </si>
  <si>
    <t>070-333 93 29</t>
  </si>
  <si>
    <t>Järnvägsgatan 11 Lastkaj 1-2</t>
  </si>
  <si>
    <t>556165-9888</t>
  </si>
  <si>
    <t>Sabis AB</t>
  </si>
  <si>
    <t>Hemköp Norrköping Kungsgatan</t>
  </si>
  <si>
    <t>Kungsgatan 33</t>
  </si>
  <si>
    <t>602 20 Norrköping</t>
  </si>
  <si>
    <t>011-12 42 60</t>
  </si>
  <si>
    <t>Per Arén</t>
  </si>
  <si>
    <t>070 845 44 84</t>
  </si>
  <si>
    <t>per.aren@hemkop.se</t>
  </si>
  <si>
    <t>Tobias Beckne</t>
  </si>
  <si>
    <t>0705 98 16 89</t>
  </si>
  <si>
    <t>556528-3172</t>
  </si>
  <si>
    <t>Kungsgatans Livs i Norrköping AB</t>
  </si>
  <si>
    <t>Hemköp Norrköping Lasarettsgatan</t>
  </si>
  <si>
    <t>Gamla Lasarettsgatan 39</t>
  </si>
  <si>
    <t>602 39 Norrköping</t>
  </si>
  <si>
    <t>011-10 19 06</t>
  </si>
  <si>
    <t>Atif Mujdaza</t>
  </si>
  <si>
    <t>010 474 42 00</t>
  </si>
  <si>
    <t>butikschef.hemkopnorrkopinglasarettsgatan.4200@hemkop.se</t>
  </si>
  <si>
    <t>0702 74 77 32</t>
  </si>
  <si>
    <t>011-101 906</t>
  </si>
  <si>
    <t>Hemköp Norrköping Lindö</t>
  </si>
  <si>
    <t>Lindövägen</t>
  </si>
  <si>
    <t>603 85 Norrköping</t>
  </si>
  <si>
    <t>011-31 82 80</t>
  </si>
  <si>
    <t>Johan Arfwedson</t>
  </si>
  <si>
    <t>070 583 83 77</t>
  </si>
  <si>
    <t>johan.arfwedson@hemkop.se</t>
  </si>
  <si>
    <t>556509-0353</t>
  </si>
  <si>
    <t>J A Magnaement AB</t>
  </si>
  <si>
    <t>Hemköp Norrköping Ljura</t>
  </si>
  <si>
    <t>Ljuragatan 1</t>
  </si>
  <si>
    <t>603 51 Norrköping</t>
  </si>
  <si>
    <t>011-44 46 910-919</t>
  </si>
  <si>
    <t>Jimmy Wolffberg</t>
  </si>
  <si>
    <t>010-4744232</t>
  </si>
  <si>
    <t>butikschef.hemkopnorrkopingljura.4232@hemkop.se</t>
  </si>
  <si>
    <t>076-1421352</t>
  </si>
  <si>
    <t>011-139420</t>
  </si>
  <si>
    <t>Hemköp Nossebro C (tidigare 4762) KONKURS</t>
  </si>
  <si>
    <t>Södravägen 2</t>
  </si>
  <si>
    <t>465 31 Nossebro</t>
  </si>
  <si>
    <t>0512-504 70</t>
  </si>
  <si>
    <t>559466-9060</t>
  </si>
  <si>
    <t>Kimmens Matinspiration AB</t>
  </si>
  <si>
    <t>Hemköp Nyköping C</t>
  </si>
  <si>
    <t>Västra Storgatan 13</t>
  </si>
  <si>
    <t>611 32 Nyköping</t>
  </si>
  <si>
    <t>0155-60 60 50</t>
  </si>
  <si>
    <t>Emil Bergkvist</t>
  </si>
  <si>
    <t>073 812 75 66</t>
  </si>
  <si>
    <t>emil.bergkvist@hemkop.se</t>
  </si>
  <si>
    <t>070-768 58 77</t>
  </si>
  <si>
    <t>556930-2465</t>
  </si>
  <si>
    <t>Nyköping City Matmarknad AB</t>
  </si>
  <si>
    <t>Hemköp Nyköping Spelhagen</t>
  </si>
  <si>
    <t>Arnöleden 5</t>
  </si>
  <si>
    <t>611 31 Nyköping</t>
  </si>
  <si>
    <t>0155-212 970</t>
  </si>
  <si>
    <t>Robin Ljung &amp; Elin Lundborg</t>
  </si>
  <si>
    <t>070-3851970;070-2026208</t>
  </si>
  <si>
    <t>jimmy.fagelqvist@hemkop.se; elin.lundborg@hemkop.se;robin.ljungh@hemkop.se</t>
  </si>
  <si>
    <t xml:space="preserve">Anders Nensén </t>
  </si>
  <si>
    <t>556901-0183</t>
  </si>
  <si>
    <t>Spelhagens Matmarknad AB</t>
  </si>
  <si>
    <t>Hemköp Onsala C</t>
  </si>
  <si>
    <t>Onsala Kyrkby</t>
  </si>
  <si>
    <t>439 23 Onsala</t>
  </si>
  <si>
    <t>0300-634 74</t>
  </si>
  <si>
    <t>Jessika Österström</t>
  </si>
  <si>
    <t>070-5775089</t>
  </si>
  <si>
    <t>jessika.osterstrom@hemkop.se</t>
  </si>
  <si>
    <t>556595-9573</t>
  </si>
  <si>
    <t>Österströms Livs AB</t>
  </si>
  <si>
    <t xml:space="preserve">Hemköp Oskarström Blåklintsvägen </t>
  </si>
  <si>
    <t>Blåklintsvägen 36</t>
  </si>
  <si>
    <t>313 32 Oskarström</t>
  </si>
  <si>
    <t>035-613 92</t>
  </si>
  <si>
    <t>Gustav Ågren</t>
  </si>
  <si>
    <t>010-4744202</t>
  </si>
  <si>
    <t>butikschef.hemkoposkarstromblaklintsvagen.4202@hemkop.se</t>
  </si>
  <si>
    <t>0702 62 85 91</t>
  </si>
  <si>
    <t>Hemköp Rättvik C</t>
  </si>
  <si>
    <t>795 30 Rättvik</t>
  </si>
  <si>
    <t>0248-100 88</t>
  </si>
  <si>
    <t>Anders Thynell</t>
  </si>
  <si>
    <t>010-4744156</t>
  </si>
  <si>
    <t>butikschef.hemkoprattvikc.4156@hemkop.se</t>
  </si>
  <si>
    <t>0761 09 06 53</t>
  </si>
  <si>
    <t>Hemköp Sabis Stockholm Fältöversten</t>
  </si>
  <si>
    <t>Karlaplan 13</t>
  </si>
  <si>
    <t>115 20 Stockholm</t>
  </si>
  <si>
    <t>08-545 856 60</t>
  </si>
  <si>
    <t>Cecilia Hedman Stenqvist</t>
  </si>
  <si>
    <t>073-5252260</t>
  </si>
  <si>
    <t>cecilia.hedman.stenqvist@hemkop.se</t>
  </si>
  <si>
    <t>Hemköp Saltsjö-Boo Lännersta</t>
  </si>
  <si>
    <t>Prästkragens väg 3</t>
  </si>
  <si>
    <t>132 45 Saltsjö-Boo</t>
  </si>
  <si>
    <t>08- 556 145 45</t>
  </si>
  <si>
    <t>Jerker Andersson</t>
  </si>
  <si>
    <t>010-4744183</t>
  </si>
  <si>
    <t>butikschef.hemkopsaltsjo-boolannersta.4183@hemkop.se</t>
  </si>
  <si>
    <t>0725 14 14 28</t>
  </si>
  <si>
    <t>08-556 145 31</t>
  </si>
  <si>
    <t>Hemköp Sjöbo Blentarp</t>
  </si>
  <si>
    <t>Skurupsvägen 1</t>
  </si>
  <si>
    <t>275 61 Blentarp</t>
  </si>
  <si>
    <t>0416-131 20</t>
  </si>
  <si>
    <t>Lars-Erik Gerdin</t>
  </si>
  <si>
    <t>070-5716555</t>
  </si>
  <si>
    <t>lars-erik.gerdin@hemkop.se</t>
  </si>
  <si>
    <t>556911-3136</t>
  </si>
  <si>
    <t>Gerdin Konsult AB</t>
  </si>
  <si>
    <t xml:space="preserve">Hemköp Skillingaryd Artillerigatan </t>
  </si>
  <si>
    <t>Artellerigatan 28</t>
  </si>
  <si>
    <t>568 30 Skillingaryd</t>
  </si>
  <si>
    <t>0370 - 793 30</t>
  </si>
  <si>
    <t>Jennifer Jern Fält</t>
  </si>
  <si>
    <t>010-4744307</t>
  </si>
  <si>
    <t>butikschef.hemkopskillingarydartillerigatan.4307@hemkop.se</t>
  </si>
  <si>
    <t>0761 09 06 54</t>
  </si>
  <si>
    <t>0370-79335</t>
  </si>
  <si>
    <t>Hemköp Skövde C</t>
  </si>
  <si>
    <t>Petter Helenes gata 6</t>
  </si>
  <si>
    <t>541 30 Skövde</t>
  </si>
  <si>
    <t>0500-88 01 20</t>
  </si>
  <si>
    <t>Henrik Hermansson</t>
  </si>
  <si>
    <t>010-4744195</t>
  </si>
  <si>
    <t>butikschef.hemkopskovdec.4195@hemkop.se</t>
  </si>
  <si>
    <t>0725 05 60 57</t>
  </si>
  <si>
    <t>Hemköp Skövde Hentorp</t>
  </si>
  <si>
    <t>Grönavägen 48</t>
  </si>
  <si>
    <t>54154 Skövde</t>
  </si>
  <si>
    <t>0500-41 03 00</t>
  </si>
  <si>
    <t>Peter Lindér</t>
  </si>
  <si>
    <t>070-7436343</t>
  </si>
  <si>
    <t>peter.linder@hemkop.se</t>
  </si>
  <si>
    <t>556848-2078</t>
  </si>
  <si>
    <t>Lindér Hentorp AB</t>
  </si>
  <si>
    <t>Hemköp Skövde Rydshallen</t>
  </si>
  <si>
    <t>Timmervägen 1</t>
  </si>
  <si>
    <t>541 64 Skövde</t>
  </si>
  <si>
    <t>0500-43 50 80</t>
  </si>
  <si>
    <t>556538-6645</t>
  </si>
  <si>
    <t>Lindér Livsmedel AB</t>
  </si>
  <si>
    <t>Hemköp Sollentuna Rotehallen</t>
  </si>
  <si>
    <t>Rotebro Centrum</t>
  </si>
  <si>
    <t>192 07 Sollentuna</t>
  </si>
  <si>
    <t>08-754 11 68</t>
  </si>
  <si>
    <t>Lars-Olof Melkersson</t>
  </si>
  <si>
    <t>070-6960465</t>
  </si>
  <si>
    <t>mikael.melkersson@hemkop.se</t>
  </si>
  <si>
    <t>556244-7002</t>
  </si>
  <si>
    <t>Rotehallen AB</t>
  </si>
  <si>
    <t>Hemköp Sollentuna Sjöbergshallen</t>
  </si>
  <si>
    <t>Lomvägen 23 G</t>
  </si>
  <si>
    <t>192 56 Sollentuna</t>
  </si>
  <si>
    <t xml:space="preserve">08-500 772 30 </t>
  </si>
  <si>
    <t>Hans Roosmark</t>
  </si>
  <si>
    <t xml:space="preserve">073-3937355 </t>
  </si>
  <si>
    <t>hans.roosmark@hemkop.se</t>
  </si>
  <si>
    <t>Lomvägen 23 B</t>
  </si>
  <si>
    <t>559155-7854</t>
  </si>
  <si>
    <t>Hemköp i Sollentuna AB UNÄ</t>
  </si>
  <si>
    <t>Hemköp Solna C</t>
  </si>
  <si>
    <t>Solna Torg 10</t>
  </si>
  <si>
    <t>171 45 Solna</t>
  </si>
  <si>
    <t>08-705 33 30</t>
  </si>
  <si>
    <t>Malek Morad</t>
  </si>
  <si>
    <t>010-4744138</t>
  </si>
  <si>
    <t>butikschef.hemkopsolnac.4138@hemkop.se</t>
  </si>
  <si>
    <t>0761 09 06 71</t>
  </si>
  <si>
    <t>08-705 33 46</t>
  </si>
  <si>
    <t>Hemköp Solna Frösunda Boulevard</t>
  </si>
  <si>
    <t>Gustav III:s Boulevard 47</t>
  </si>
  <si>
    <t>169 73 Solna</t>
  </si>
  <si>
    <t>08-514 833 80</t>
  </si>
  <si>
    <t>Alexander Roosmark;Johannes.Rosmark;Adrian Roosmark</t>
  </si>
  <si>
    <t>070-8761056/073-8930052/073-9520405</t>
  </si>
  <si>
    <t>alexander.roosmark@hemkop.se;johannes.roosmark@hemkop.se;adrian.roosmark@hemkop.se</t>
  </si>
  <si>
    <t>556856-4511</t>
  </si>
  <si>
    <t>Frösundahallen AB</t>
  </si>
  <si>
    <t>Hemköp Solna Huvudsta C</t>
  </si>
  <si>
    <t>Storgatan 62-64</t>
  </si>
  <si>
    <t>171 54 Solna</t>
  </si>
  <si>
    <t>08-514 934 60</t>
  </si>
  <si>
    <t>frank.thelin@hemkop.se; tom.reijs@hemkop.se</t>
  </si>
  <si>
    <t>Tom Reijs</t>
  </si>
  <si>
    <t>08-51493461</t>
  </si>
  <si>
    <t>556459-1955</t>
  </si>
  <si>
    <t>Foodmarket i Huvudsta AB</t>
  </si>
  <si>
    <t>Hemköp Solna Mall of Scandinavia</t>
  </si>
  <si>
    <t>Råsta Strandväg 13 C</t>
  </si>
  <si>
    <t>169 79 Solna</t>
  </si>
  <si>
    <t>08-557 602 00</t>
  </si>
  <si>
    <t>Tommie From</t>
  </si>
  <si>
    <t>070-8503585</t>
  </si>
  <si>
    <t>tommie.from@hemkop.se</t>
  </si>
  <si>
    <t>070-850 35 85</t>
  </si>
  <si>
    <t>559372-8735</t>
  </si>
  <si>
    <t>KeTo-RoMa AB</t>
  </si>
  <si>
    <t>Hemköp Solna Ulriksdal</t>
  </si>
  <si>
    <t>Bagartorpsringen 53-55</t>
  </si>
  <si>
    <t>170 65 Solna</t>
  </si>
  <si>
    <t>08-124 398 60</t>
  </si>
  <si>
    <t>Fabian Granath</t>
  </si>
  <si>
    <t>073-9873596</t>
  </si>
  <si>
    <t>fabian.granath@hemkop.se</t>
  </si>
  <si>
    <t>556790-8925</t>
  </si>
  <si>
    <t>Mat &amp; Hälsa i Stockholm AB</t>
  </si>
  <si>
    <t>08-85 49 50</t>
  </si>
  <si>
    <t>Hemköp Stenungsund Stora Höga</t>
  </si>
  <si>
    <t>Selins väg 6</t>
  </si>
  <si>
    <t>444 60 Stora Höga</t>
  </si>
  <si>
    <t>0303-24 04 00</t>
  </si>
  <si>
    <t>Lars Nordevik</t>
  </si>
  <si>
    <t>070-2233739</t>
  </si>
  <si>
    <t>lars.nordevik@hemkop.se</t>
  </si>
  <si>
    <t>559028-4724</t>
  </si>
  <si>
    <t>Stora Höga Livs AB</t>
  </si>
  <si>
    <t>Hemköp Stockholm Birger Jarlsgatan</t>
  </si>
  <si>
    <t>Birger Jarlsgatan 59</t>
  </si>
  <si>
    <t>113 56 Stockholm</t>
  </si>
  <si>
    <t>08-674 61 60</t>
  </si>
  <si>
    <t>Lena Nilsson</t>
  </si>
  <si>
    <t>010-4744150</t>
  </si>
  <si>
    <t>butikschef.hemkopstockholmbirgerjarlsgatan.4150@hemkop.se</t>
  </si>
  <si>
    <t>0722 43 01 95</t>
  </si>
  <si>
    <t>08-674 61 64</t>
  </si>
  <si>
    <t>Hemköp Stockholm Blackeberg C</t>
  </si>
  <si>
    <t>Wergelandsgatan 3</t>
  </si>
  <si>
    <t>168 48 Bromma</t>
  </si>
  <si>
    <t>08-37 62 30</t>
  </si>
  <si>
    <t>Anders Adner</t>
  </si>
  <si>
    <t>070-6360860</t>
  </si>
  <si>
    <t>stephan@affarsbyggarna.se;anders@affarsbyggarna.se; kenneth.eklund@hemkop.se</t>
  </si>
  <si>
    <t>Kenneth Eklund</t>
  </si>
  <si>
    <t>070-2930929</t>
  </si>
  <si>
    <t>556910-7815</t>
  </si>
  <si>
    <t>Matbutiken i Blackeberg AB</t>
  </si>
  <si>
    <t>072-182 84 21</t>
  </si>
  <si>
    <t>Hemköp Stockholm Bredäng C</t>
  </si>
  <si>
    <t>Bredängstorget 1-3</t>
  </si>
  <si>
    <t>127 02 Skärholmen</t>
  </si>
  <si>
    <t>08-97 71 41</t>
  </si>
  <si>
    <t>Houston Stone</t>
  </si>
  <si>
    <t>070-8741444</t>
  </si>
  <si>
    <t>houston.stone@hemkop.se</t>
  </si>
  <si>
    <t>556634-7679</t>
  </si>
  <si>
    <t>Stone Livs AB</t>
  </si>
  <si>
    <t>Hemköp Stockholm City</t>
  </si>
  <si>
    <t>Mäster Samuelsg. 57</t>
  </si>
  <si>
    <t>111 21 Stockholm</t>
  </si>
  <si>
    <t>08-723 65 30</t>
  </si>
  <si>
    <t>Niklas Persson</t>
  </si>
  <si>
    <t>010-4744297</t>
  </si>
  <si>
    <t>butikschef.hemkopstockholmcity.4297@hemkop.se</t>
  </si>
  <si>
    <t>0761 09 06 56</t>
  </si>
  <si>
    <t>08-723 65 37</t>
  </si>
  <si>
    <t>Hemköp Stockholm Djurgårdsstaden</t>
  </si>
  <si>
    <t>Storängskroken 14-16</t>
  </si>
  <si>
    <t>115 42 Stockholm</t>
  </si>
  <si>
    <t>08-420 03 160</t>
  </si>
  <si>
    <t>Victor Hedberg</t>
  </si>
  <si>
    <t>010-4744196</t>
  </si>
  <si>
    <t>butikschef.hemkopstockholmdjurgardsstaden.4196@hemkop.se</t>
  </si>
  <si>
    <t>0725 19 90 75</t>
  </si>
  <si>
    <t>08-420 03 162</t>
  </si>
  <si>
    <t>Hemköp Stockholm Farsta C</t>
  </si>
  <si>
    <t>Farsta torg 26-28</t>
  </si>
  <si>
    <t>123 47 Farsta</t>
  </si>
  <si>
    <t>08-93 94 10</t>
  </si>
  <si>
    <t>Fredrik Camitz</t>
  </si>
  <si>
    <t>072-3109067</t>
  </si>
  <si>
    <t>fredrik.camitz@hemkop.se</t>
  </si>
  <si>
    <t>Farstaplan</t>
  </si>
  <si>
    <t>556961-7490</t>
  </si>
  <si>
    <t>Frevil Matmarknad AB</t>
  </si>
  <si>
    <t>Hemköp Stockholm Fatburen</t>
  </si>
  <si>
    <t>Fatbursgatan 6</t>
  </si>
  <si>
    <t>118 54 Stockholm</t>
  </si>
  <si>
    <t>08-556 066 90</t>
  </si>
  <si>
    <t>Alexander Roosmark</t>
  </si>
  <si>
    <t>070-8761056</t>
  </si>
  <si>
    <t>alexander.roosmark@hemkop.se</t>
  </si>
  <si>
    <t>559227-5605</t>
  </si>
  <si>
    <t>Fatburen Dagligvaruhandel AB</t>
  </si>
  <si>
    <t>Hemköp Stockholm Fruängen C</t>
  </si>
  <si>
    <t>Fruängsgången 10</t>
  </si>
  <si>
    <t>129 52 Hägersten</t>
  </si>
  <si>
    <t>08-646 34 16</t>
  </si>
  <si>
    <t>Joakim Metz</t>
  </si>
  <si>
    <t>070-762 09 06</t>
  </si>
  <si>
    <t>joakim.metz@hemkop.se</t>
  </si>
  <si>
    <t>Hemköp Stockholm Gullmarsplan</t>
  </si>
  <si>
    <t>Gullmarsplan 4-6</t>
  </si>
  <si>
    <t>121 40 Johanneshov</t>
  </si>
  <si>
    <t>08-91 69 00</t>
  </si>
  <si>
    <t>Einar Tibbelin</t>
  </si>
  <si>
    <t>070-508 37 26</t>
  </si>
  <si>
    <t xml:space="preserve">einar.tibbelin@hemkop.se </t>
  </si>
  <si>
    <t>070-5083726</t>
  </si>
  <si>
    <t>Hemköp Stockholm Gärdet</t>
  </si>
  <si>
    <t>Kampementsgatan 12</t>
  </si>
  <si>
    <t>115 38 Stockholm</t>
  </si>
  <si>
    <t>08-52400750</t>
  </si>
  <si>
    <t>Elias Mokdessi</t>
  </si>
  <si>
    <t>010-4744234</t>
  </si>
  <si>
    <t>butikschef.hemkopstockholmgardet.4234@hemkop.se</t>
  </si>
  <si>
    <t>076-7717515</t>
  </si>
  <si>
    <t>Hemköp Stockholm Hässelby Strand</t>
  </si>
  <si>
    <t>Maltesholmstorget 6</t>
  </si>
  <si>
    <t>165 62 Hässelby</t>
  </si>
  <si>
    <t>08-89 45 02</t>
  </si>
  <si>
    <t>Tomas Lindborg</t>
  </si>
  <si>
    <t>070-6558525</t>
  </si>
  <si>
    <t>tomas.lindborg@hemkop.se</t>
  </si>
  <si>
    <t>Kristian Doherty</t>
  </si>
  <si>
    <t>0708 94 54 77</t>
  </si>
  <si>
    <t>556549-1973</t>
  </si>
  <si>
    <t>MatRätt Hässelby AB</t>
  </si>
  <si>
    <t>08-89 45 01</t>
  </si>
  <si>
    <t>Hemköp Stockholm Jungfrugatan (fd.Matglädjen)</t>
  </si>
  <si>
    <t>Jungfrugatan 53</t>
  </si>
  <si>
    <t>115 31 Stockholm</t>
  </si>
  <si>
    <t>08-664 55 33</t>
  </si>
  <si>
    <t>Petter Mähler / Henrik Enshagen</t>
  </si>
  <si>
    <t>070-3463595</t>
  </si>
  <si>
    <t>petter.mahler@hemkop.se</t>
  </si>
  <si>
    <t>559067-5616</t>
  </si>
  <si>
    <t>Semmeltest i Östermalm AB</t>
  </si>
  <si>
    <t>Hemköp Stockholm Kälvesta</t>
  </si>
  <si>
    <t>Basgränd 1</t>
  </si>
  <si>
    <t>162 47 Vällingby</t>
  </si>
  <si>
    <t>08-760 64 61</t>
  </si>
  <si>
    <t>Rickard Bernhardsson/Jesper Gustafson</t>
  </si>
  <si>
    <t>070-7144564 / 070-7146519</t>
  </si>
  <si>
    <t>rickard.bernhardsson@hemkop.se;jesper.gustafson@hemkop.se</t>
  </si>
  <si>
    <t>556672-9876</t>
  </si>
  <si>
    <t>RV Bernhardsson AB</t>
  </si>
  <si>
    <t>Hemköp Stockholm Matpressen</t>
  </si>
  <si>
    <t>Rålambsvägen 7-9</t>
  </si>
  <si>
    <t>112 59 Stockholm</t>
  </si>
  <si>
    <t>08-618 31 30</t>
  </si>
  <si>
    <t>Christoffer Thelin</t>
  </si>
  <si>
    <t>070-8449398</t>
  </si>
  <si>
    <t>christoffer.thelin@hemkop.se ; mia.johansson@hemkop.se</t>
  </si>
  <si>
    <t>Mia Johansson</t>
  </si>
  <si>
    <t>0704 94 31 13</t>
  </si>
  <si>
    <t>556205-2281</t>
  </si>
  <si>
    <t>Lars Thelin AB</t>
  </si>
  <si>
    <t>08-121 397 21</t>
  </si>
  <si>
    <t>Hemköp Stockholm Odenplan</t>
  </si>
  <si>
    <t>Karlbergsvägen 24</t>
  </si>
  <si>
    <t>113 27 Stockholm</t>
  </si>
  <si>
    <t>08-30 02 11</t>
  </si>
  <si>
    <t>Camilla Lindberg</t>
  </si>
  <si>
    <t>010-4744129</t>
  </si>
  <si>
    <t>butikschef.hemkopstockholmodenplan.4129@hemkop.se</t>
  </si>
  <si>
    <t>076-044 19 69</t>
  </si>
  <si>
    <t xml:space="preserve">Hemköp Stockholm Råcksta </t>
  </si>
  <si>
    <t>Funäsgatan 39</t>
  </si>
  <si>
    <t>162 74 Vällingby</t>
  </si>
  <si>
    <t>08-557 682 50</t>
  </si>
  <si>
    <t>Jeanette Sjöström</t>
  </si>
  <si>
    <t>010-4744216</t>
  </si>
  <si>
    <t>butikschef.hemkopstockholmracksta.4216@hemkop.se</t>
  </si>
  <si>
    <t>0730  85 35 16</t>
  </si>
  <si>
    <t>Hemköp Stockholm Skanstull</t>
  </si>
  <si>
    <t>Ringvägen 100</t>
  </si>
  <si>
    <t>118 60 Stockholm</t>
  </si>
  <si>
    <t>08-442 71 20</t>
  </si>
  <si>
    <t>Stephanie Bondesson Ferenac</t>
  </si>
  <si>
    <t>010-4744127</t>
  </si>
  <si>
    <t>butikschef.hemkopstockholmskanstull.4127@hemkop.se</t>
  </si>
  <si>
    <t>0761 35 33 38</t>
  </si>
  <si>
    <t>Skansbrogatan 5</t>
  </si>
  <si>
    <t>08-442 71 28</t>
  </si>
  <si>
    <t>Hemköp Stockholm Skarpnäck</t>
  </si>
  <si>
    <t>Gråhundsv 82-84</t>
  </si>
  <si>
    <t>128 62 Sköndal</t>
  </si>
  <si>
    <t>08-93 08 50</t>
  </si>
  <si>
    <t>Jesper Svensson</t>
  </si>
  <si>
    <t>010-4744162</t>
  </si>
  <si>
    <t>butikschef.hemkopstockholmskarpnack.4162@hemkop.se</t>
  </si>
  <si>
    <t>0761 09 06 60</t>
  </si>
  <si>
    <t>Gråhundsvägen 82-84</t>
  </si>
  <si>
    <t>Hemköp Stockholm Sköndal C</t>
  </si>
  <si>
    <t>Sköndalsvägen 91</t>
  </si>
  <si>
    <t>128 66 Sköndal</t>
  </si>
  <si>
    <t>08-447 53 54</t>
  </si>
  <si>
    <t>frank.thelin@hemkop.se; dennis.hafvenstein@hemkop.se</t>
  </si>
  <si>
    <t>Dennis Hafverstein</t>
  </si>
  <si>
    <t>070-4245296</t>
  </si>
  <si>
    <t>556059-2288</t>
  </si>
  <si>
    <t>Food Market i Sköndal AB</t>
  </si>
  <si>
    <t>08 447 53 54</t>
  </si>
  <si>
    <t>Hemköp Stockholm Stadshagen</t>
  </si>
  <si>
    <t>Tomas Tranströmers gata 9</t>
  </si>
  <si>
    <t>112 17 Stockholm</t>
  </si>
  <si>
    <t>08-551 169 70</t>
  </si>
  <si>
    <t>Tiina Koivisto</t>
  </si>
  <si>
    <t>010-4744229</t>
  </si>
  <si>
    <t>butikschef.hemkopstockholmstadshagen.4229@hemkop.se</t>
  </si>
  <si>
    <t>0765 40 22 04</t>
  </si>
  <si>
    <t>Mariedalsvägen</t>
  </si>
  <si>
    <t>Hemköp Stockholm Torsplan</t>
  </si>
  <si>
    <t>Norra stationsgatan 80C</t>
  </si>
  <si>
    <t>113 65 Stockholm</t>
  </si>
  <si>
    <t>08-121 394 30</t>
  </si>
  <si>
    <t>Linda Gunnarsson</t>
  </si>
  <si>
    <t>010-4744190</t>
  </si>
  <si>
    <t>butikschef.hemkopstockholmtorsplan.4190@hemkop.se</t>
  </si>
  <si>
    <t>0761 09 06 58</t>
  </si>
  <si>
    <t>Norra stationsgatan 80 C</t>
  </si>
  <si>
    <t>08-121 394 300</t>
  </si>
  <si>
    <t>Hemköp Stockholm Vällingby C</t>
  </si>
  <si>
    <t>Vällingbyplan</t>
  </si>
  <si>
    <t>162 13 Vällingby</t>
  </si>
  <si>
    <t>08-37 30 11</t>
  </si>
  <si>
    <t>Mikael Ceder Brolin</t>
  </si>
  <si>
    <t>010-4744273</t>
  </si>
  <si>
    <t>butikschef.hemkopstockholmvallingbyc.4273@hemkop.se</t>
  </si>
  <si>
    <t>0761 08 21 26</t>
  </si>
  <si>
    <t>Hemköp Stockholm Västertorp</t>
  </si>
  <si>
    <t>Störtloppsvägen 22</t>
  </si>
  <si>
    <t>129 04 Hägersten</t>
  </si>
  <si>
    <t>08-97 03 84</t>
  </si>
  <si>
    <t>Magnus Persson</t>
  </si>
  <si>
    <t>070-5533860</t>
  </si>
  <si>
    <t>magnus.persson4@hemkop.se; sandra.spangberg@hemkop.se</t>
  </si>
  <si>
    <t>Sandra Spångberg</t>
  </si>
  <si>
    <t>076-108 2126</t>
  </si>
  <si>
    <t>556945-8879</t>
  </si>
  <si>
    <t>Forba detaljhandel AB</t>
  </si>
  <si>
    <t>08-97 03 84/08-646 58 77</t>
  </si>
  <si>
    <t>Hemköp Stockholm Wasahallen</t>
  </si>
  <si>
    <t>Upplandsgatan 28-30</t>
  </si>
  <si>
    <t>113 28 Stockholm</t>
  </si>
  <si>
    <t>08-545 417 80</t>
  </si>
  <si>
    <t>08-54541785 (BC)</t>
  </si>
  <si>
    <t>christoffer.thelin@hemkop.se;henrik.hedstrom@hemkop.se</t>
  </si>
  <si>
    <t>Henrik Hedström</t>
  </si>
  <si>
    <t>073-5462366</t>
  </si>
  <si>
    <t>556728-5480</t>
  </si>
  <si>
    <t>Wasahallen AB</t>
  </si>
  <si>
    <t xml:space="preserve">08-545 417 86 </t>
  </si>
  <si>
    <t>Hemköp Stockholm Älvsjö</t>
  </si>
  <si>
    <t>Sjättenovembervägen 208</t>
  </si>
  <si>
    <t>125 23 Älvsjö</t>
  </si>
  <si>
    <t>08-647 12 30</t>
  </si>
  <si>
    <t>anders.kullander@hemkop.se; anders.marklund@hemkop.se</t>
  </si>
  <si>
    <t>Anders Marklund</t>
  </si>
  <si>
    <t>070-8496495</t>
  </si>
  <si>
    <t>Kullander förvaltning AB</t>
  </si>
  <si>
    <t>Hemköp Stockholm Ängby Torg</t>
  </si>
  <si>
    <t>Vultejusvägen 29</t>
  </si>
  <si>
    <t>168 56 Bromma</t>
  </si>
  <si>
    <t>08-37 65 90</t>
  </si>
  <si>
    <t>Anders Wallenholm</t>
  </si>
  <si>
    <t>070-4851769</t>
  </si>
  <si>
    <t>anders.wallenholm@hemkop.se</t>
  </si>
  <si>
    <t>556683-4387</t>
  </si>
  <si>
    <t>VI i Ängby AB</t>
  </si>
  <si>
    <t>Hemköp Stockholm Örby</t>
  </si>
  <si>
    <t>Gamla Huddingevägen 433 A</t>
  </si>
  <si>
    <t>125 42 Älvsjö</t>
  </si>
  <si>
    <t>08-124 399 20</t>
  </si>
  <si>
    <t>Lars Bodelson, Tomas Bodelson</t>
  </si>
  <si>
    <t>070-7350660</t>
  </si>
  <si>
    <t>lars.bodelson@hemkop.se ; tomas.bodelson@hemkop.se</t>
  </si>
  <si>
    <t>Gamla Huddingevägen 431</t>
  </si>
  <si>
    <t>Sköldingevägen 18B</t>
  </si>
  <si>
    <t>559329-4134</t>
  </si>
  <si>
    <t>Hemköp i Örby AB</t>
  </si>
  <si>
    <t>Hemköp Stockholm Östermalmstorg</t>
  </si>
  <si>
    <t>Nybrogatan 37</t>
  </si>
  <si>
    <t>114 39 Stockholm</t>
  </si>
  <si>
    <t>08-54567050</t>
  </si>
  <si>
    <t>Erik Pihl</t>
  </si>
  <si>
    <t>010-4744147</t>
  </si>
  <si>
    <t>butikschef.hemkopstockholmostermalmstorg.4147@hemkop.se</t>
  </si>
  <si>
    <t>0722 30 32 17</t>
  </si>
  <si>
    <t>Majorsgatan 8 (114 47 Sthlm)</t>
  </si>
  <si>
    <t>08- 545 670 54</t>
  </si>
  <si>
    <t>Hemköp Strängnäs C</t>
  </si>
  <si>
    <t>Trädgårdsgatan 14A</t>
  </si>
  <si>
    <t>645 31 Strängnäs</t>
  </si>
  <si>
    <t>0152-26996</t>
  </si>
  <si>
    <t>Ruey-Sheng Lin</t>
  </si>
  <si>
    <t>070-7860076</t>
  </si>
  <si>
    <t>ruey-hwa.lin@hemkop.se</t>
  </si>
  <si>
    <t>559172-6640</t>
  </si>
  <si>
    <t>Matarket AB</t>
  </si>
  <si>
    <t>Hemköp Sundbyberg C</t>
  </si>
  <si>
    <t>Sturegatan 5</t>
  </si>
  <si>
    <t>172 31 Sundbyberg</t>
  </si>
  <si>
    <t>08-29 19 49</t>
  </si>
  <si>
    <t>Veronica Wahlqvist</t>
  </si>
  <si>
    <t>010-4744168</t>
  </si>
  <si>
    <t>butikschef.hemkopsundbybergc.4168@hemkop.se</t>
  </si>
  <si>
    <t>0761 09 06 63</t>
  </si>
  <si>
    <t xml:space="preserve">Fabriksgränd </t>
  </si>
  <si>
    <t>Hemköp Sundbyberg Rissne</t>
  </si>
  <si>
    <t>Rissne torg 1</t>
  </si>
  <si>
    <t>174 57 Sundbyberg</t>
  </si>
  <si>
    <t>08-733 04 90</t>
  </si>
  <si>
    <t>Köpman Lars Thunholm/ BC Olle Jansson</t>
  </si>
  <si>
    <t>070-3205099 / 070-6689023</t>
  </si>
  <si>
    <t>lars-olov.jansson@hemkop.se</t>
  </si>
  <si>
    <t>Rissne Centrum</t>
  </si>
  <si>
    <t>556456-0836</t>
  </si>
  <si>
    <t>Lwt Livs AB</t>
  </si>
  <si>
    <t>Hemköp Svanesund C</t>
  </si>
  <si>
    <t>Skansvägen 2</t>
  </si>
  <si>
    <t>472 32 Svanesund</t>
  </si>
  <si>
    <t>0304-443 58</t>
  </si>
  <si>
    <t>Amanda Sörensen</t>
  </si>
  <si>
    <t>070-663 04 15</t>
  </si>
  <si>
    <t>556557-0925</t>
  </si>
  <si>
    <t>LH Nordevik AB</t>
  </si>
  <si>
    <t>070-307 78 74</t>
  </si>
  <si>
    <t>Hemköp Svedala C</t>
  </si>
  <si>
    <t>Storgatan 17</t>
  </si>
  <si>
    <t>233 31 Svedala</t>
  </si>
  <si>
    <t>040-670 79 79</t>
  </si>
  <si>
    <t>Mattias Karlsson</t>
  </si>
  <si>
    <t>073-3844863</t>
  </si>
  <si>
    <t>mattias.karlsson@hemkop.se</t>
  </si>
  <si>
    <t>556977-2568</t>
  </si>
  <si>
    <t>Svedala Livs AB</t>
  </si>
  <si>
    <t>Hemköp Särö C</t>
  </si>
  <si>
    <t>Särö</t>
  </si>
  <si>
    <t>429 41 Särö</t>
  </si>
  <si>
    <t>031-93 50 19</t>
  </si>
  <si>
    <t>556799-6078</t>
  </si>
  <si>
    <t>Särö Livs AB</t>
  </si>
  <si>
    <t>070-820 45 11</t>
  </si>
  <si>
    <t>Hemköp Söderköping Ågatan</t>
  </si>
  <si>
    <t>Ågatan 2</t>
  </si>
  <si>
    <t>614 34 Söderköping</t>
  </si>
  <si>
    <t>0121-196 90</t>
  </si>
  <si>
    <t>Pelle Arén</t>
  </si>
  <si>
    <t>070-8454484</t>
  </si>
  <si>
    <t>556931-5772</t>
  </si>
  <si>
    <t>Söderköpings Matbutik AB</t>
  </si>
  <si>
    <t>Hemköp Södertälje Ellbe Livs</t>
  </si>
  <si>
    <t>Bragevägen 14</t>
  </si>
  <si>
    <t>152 28 Södertälje</t>
  </si>
  <si>
    <t>08-550 663 53</t>
  </si>
  <si>
    <t>Lars Thelin, Mia Johansson</t>
  </si>
  <si>
    <t>mia.johansson@hemkop.se</t>
  </si>
  <si>
    <t>556510-7066</t>
  </si>
  <si>
    <t>Ell-be Livs AB</t>
  </si>
  <si>
    <t>Hemköp Tandådalen Köpcentrum</t>
  </si>
  <si>
    <t>Tandådalens Köpcentrum</t>
  </si>
  <si>
    <t>780 67 Sälen</t>
  </si>
  <si>
    <t>0280-330 74</t>
  </si>
  <si>
    <t>Stefan Brunsärn;Gabriella Kumlin</t>
  </si>
  <si>
    <t>070-3693074  / 070-8592098</t>
  </si>
  <si>
    <t>stefan.brunsarn1@hemkop.se; gabriella.kumlin@hemkop.se</t>
  </si>
  <si>
    <t>556588-2700</t>
  </si>
  <si>
    <t>Matmarknaden i Tandådalen AB</t>
  </si>
  <si>
    <t>Hemköp Tierp C</t>
  </si>
  <si>
    <t>Centralgatan 19</t>
  </si>
  <si>
    <t>815 38 Tierp</t>
  </si>
  <si>
    <t>0293-712 19</t>
  </si>
  <si>
    <t>Erik Bergström, Magnus Lindberg</t>
  </si>
  <si>
    <t>070-9314133 / 070-2458772</t>
  </si>
  <si>
    <t>erik.bergstrom@hemkop.se;magnus.lindberg@hemkop.se</t>
  </si>
  <si>
    <t>559010-8667</t>
  </si>
  <si>
    <t>Tierp Detaljhandel AB</t>
  </si>
  <si>
    <t>0293- 226 97</t>
  </si>
  <si>
    <t>Hemköp Tjörn Almö</t>
  </si>
  <si>
    <t>Myggenäsvägen 2-4</t>
  </si>
  <si>
    <t>471 60 Myggenäs</t>
  </si>
  <si>
    <t>030-467 86 00</t>
  </si>
  <si>
    <t>Simon Johansson</t>
  </si>
  <si>
    <t>073-0304609</t>
  </si>
  <si>
    <t>simon.johansson1@hemkop.se</t>
  </si>
  <si>
    <t>559522-0137</t>
  </si>
  <si>
    <t>Myggenäs Livsmedel AB</t>
  </si>
  <si>
    <t>Hemköp Torshälla Spånga</t>
  </si>
  <si>
    <t>Solrosgatan 1</t>
  </si>
  <si>
    <t>644 30 Torshälla</t>
  </si>
  <si>
    <t>016-34 42 82</t>
  </si>
  <si>
    <t>Luciano Cau</t>
  </si>
  <si>
    <t>076-6189132</t>
  </si>
  <si>
    <t>luciano.cau@hemkop.se</t>
  </si>
  <si>
    <t>559515-5804</t>
  </si>
  <si>
    <t>Caus Butik AB</t>
  </si>
  <si>
    <t>Hemköp Tranås C</t>
  </si>
  <si>
    <t>Ö. Järnvägsgatan 10</t>
  </si>
  <si>
    <t>573 33 Tranås</t>
  </si>
  <si>
    <t>0140-566 65</t>
  </si>
  <si>
    <t>Robin Isberg</t>
  </si>
  <si>
    <t>070-4774812</t>
  </si>
  <si>
    <t>robin.isberg@hemkop.se</t>
  </si>
  <si>
    <t>Ö. Järnvägsg. 10</t>
  </si>
  <si>
    <t>559065-6913</t>
  </si>
  <si>
    <t>Isbergs Livs AB</t>
  </si>
  <si>
    <t>Hemköp Trollhättan Hjortmossen</t>
  </si>
  <si>
    <t>Hjortmossegatan 121</t>
  </si>
  <si>
    <t>461 51 Trollhättan</t>
  </si>
  <si>
    <t>0520-47 61 30</t>
  </si>
  <si>
    <t>Jan-Olof Johansson</t>
  </si>
  <si>
    <t>073-3641170</t>
  </si>
  <si>
    <t>jan-olof.johansson@hemkop.se</t>
  </si>
  <si>
    <t xml:space="preserve">Jacob Johansson </t>
  </si>
  <si>
    <t>0520-476 130</t>
  </si>
  <si>
    <t>556647-2337</t>
  </si>
  <si>
    <t>Hjortmossen Livs AB</t>
  </si>
  <si>
    <t>Hemköp Trollhättan Kungsgatan</t>
  </si>
  <si>
    <t>Kungsgatan 12</t>
  </si>
  <si>
    <t>461 31 Trollhättan</t>
  </si>
  <si>
    <t>0520-42 92 30</t>
  </si>
  <si>
    <t>Andreas Lill-Broända</t>
  </si>
  <si>
    <t xml:space="preserve">072-2258899 </t>
  </si>
  <si>
    <t>andreas.lill-broanda@hemkop.se</t>
  </si>
  <si>
    <t xml:space="preserve">Emma Lillbroända </t>
  </si>
  <si>
    <t>559150-9053</t>
  </si>
  <si>
    <t>EA´s Livs AB</t>
  </si>
  <si>
    <t>Hemköp Tullinge C</t>
  </si>
  <si>
    <t>Nyängsvägen 3</t>
  </si>
  <si>
    <t>146 30 Tullinge</t>
  </si>
  <si>
    <t>08-778 02 17</t>
  </si>
  <si>
    <t>Magnus Carlsen</t>
  </si>
  <si>
    <t>070-8136119</t>
  </si>
  <si>
    <t>magnus.carlsen@sabis.se</t>
  </si>
  <si>
    <t>Magnus Carlséne</t>
  </si>
  <si>
    <t xml:space="preserve">Hemköp Tyresö Granängsringen </t>
  </si>
  <si>
    <t>Granängsringen 2</t>
  </si>
  <si>
    <t>135 44 Tyresö</t>
  </si>
  <si>
    <t>08-500 773 10</t>
  </si>
  <si>
    <t>Tony Olausson</t>
  </si>
  <si>
    <t>070-4509982</t>
  </si>
  <si>
    <t>tony.olaussen@hemkop.se</t>
  </si>
  <si>
    <t>Fredrik Röcklinger</t>
  </si>
  <si>
    <t>0735 04 80 72</t>
  </si>
  <si>
    <t>559132-3224</t>
  </si>
  <si>
    <t>STORTIND AB</t>
  </si>
  <si>
    <t xml:space="preserve">Hemköp Tyresö Krusboda </t>
  </si>
  <si>
    <t>Krusboda Torg 1</t>
  </si>
  <si>
    <t>135 35 Tyresö</t>
  </si>
  <si>
    <t>08-460 076 80</t>
  </si>
  <si>
    <t>Christopher Grace</t>
  </si>
  <si>
    <t>073-5099890</t>
  </si>
  <si>
    <t>christopher.grace@hemkop.se</t>
  </si>
  <si>
    <t>559488-9338</t>
  </si>
  <si>
    <t>Grace Livs AB</t>
  </si>
  <si>
    <t>Hemköp Tyresö Trollbäcken C</t>
  </si>
  <si>
    <t>Trollbäckens centrum</t>
  </si>
  <si>
    <t>135 02 Tyresö</t>
  </si>
  <si>
    <t>08-448 73 60</t>
  </si>
  <si>
    <t>Magnus Horn</t>
  </si>
  <si>
    <t>010-4744154</t>
  </si>
  <si>
    <t>butikschef.hemkoptyresotrollbackenc.4175@hemkop.se</t>
  </si>
  <si>
    <t>0722 43 10 80</t>
  </si>
  <si>
    <t>08-448 73 60/072-315 04 00</t>
  </si>
  <si>
    <t>Hemköp Tyringe RV 21</t>
  </si>
  <si>
    <t>Stenbocksgatan 10</t>
  </si>
  <si>
    <t>282 35 Tyringe</t>
  </si>
  <si>
    <t>0451-577 50</t>
  </si>
  <si>
    <t>Daniel Jeppsson</t>
  </si>
  <si>
    <t>070-8144997</t>
  </si>
  <si>
    <t>daniel.jeppsson@hemkop.se</t>
  </si>
  <si>
    <t>556434-6814</t>
  </si>
  <si>
    <t>OFD Livsmedel AB</t>
  </si>
  <si>
    <t>Hemköp Täby Näsbypark C</t>
  </si>
  <si>
    <t>Eskadervägen 6</t>
  </si>
  <si>
    <t>183 54 Täby</t>
  </si>
  <si>
    <t>08-544 431 70</t>
  </si>
  <si>
    <t>Carl-Hugo Söderström</t>
  </si>
  <si>
    <t>070-2579647</t>
  </si>
  <si>
    <t>carl.hugo.soderstrom@hemkop.se</t>
  </si>
  <si>
    <t>Hemköp Upplands Väsby Runby</t>
  </si>
  <si>
    <t>Finvids väg 2</t>
  </si>
  <si>
    <t>194 47 Upplands Väsby</t>
  </si>
  <si>
    <t>08-594 21 270</t>
  </si>
  <si>
    <t>Robert Wollin</t>
  </si>
  <si>
    <t>556683-1284</t>
  </si>
  <si>
    <t>MatRätt Väsby AB</t>
  </si>
  <si>
    <t>08-594 212 71</t>
  </si>
  <si>
    <t>Hemköp Uppsala Rosendal</t>
  </si>
  <si>
    <t>Gerd Eneqvist Gata 2</t>
  </si>
  <si>
    <t>752 37 Uppsala</t>
  </si>
  <si>
    <t>018-700 99 60-79</t>
  </si>
  <si>
    <t>Amera Becirovic</t>
  </si>
  <si>
    <t>010-4744103</t>
  </si>
  <si>
    <t>butikschef.hemkopuppsalarosendal.4103@hemkop.se</t>
  </si>
  <si>
    <t>0730 72 98 37</t>
  </si>
  <si>
    <t>Kansliskrivargatan</t>
  </si>
  <si>
    <t>Hemköp Uppsala Svava</t>
  </si>
  <si>
    <t>Dragarbrunnsgatan 50</t>
  </si>
  <si>
    <t>753 20 Uppsala</t>
  </si>
  <si>
    <t>018-16 04 70</t>
  </si>
  <si>
    <t>Linn Karlsson</t>
  </si>
  <si>
    <t>010-4744256</t>
  </si>
  <si>
    <t>butikschef.hemkopuppsalasvavac.4256@hemkop.se</t>
  </si>
  <si>
    <t>0761 09 06 70</t>
  </si>
  <si>
    <t>Dragarbrunnsg 50</t>
  </si>
  <si>
    <t>Bredgränd 17</t>
  </si>
  <si>
    <t>018- 16 04 74</t>
  </si>
  <si>
    <t>Hemköp Uppsala Västertorg</t>
  </si>
  <si>
    <t>Västertorg 3</t>
  </si>
  <si>
    <t>752 43 Uppsala</t>
  </si>
  <si>
    <t>018-52 03 50</t>
  </si>
  <si>
    <t>John John Appelqvist</t>
  </si>
  <si>
    <t>556760-4052</t>
  </si>
  <si>
    <t>Eriksberg Detaljhandel AB</t>
  </si>
  <si>
    <t>018-56 16 49</t>
  </si>
  <si>
    <t>Hemköp Valdemarsvik Vammar</t>
  </si>
  <si>
    <t>Hagadalsgatan 5</t>
  </si>
  <si>
    <t>615 31 Valdemarsvik</t>
  </si>
  <si>
    <t>0123-19690</t>
  </si>
  <si>
    <t>Peter Svensson</t>
  </si>
  <si>
    <t>073-5294370</t>
  </si>
  <si>
    <t>peter.svensson@hemkop.se</t>
  </si>
  <si>
    <t>Vammar Köpcenter</t>
  </si>
  <si>
    <t>556761-5041</t>
  </si>
  <si>
    <t>Matbutiken i Viken AB</t>
  </si>
  <si>
    <t>0123-196 90</t>
  </si>
  <si>
    <t>Hemköp Veddige C</t>
  </si>
  <si>
    <t>Viskastigen 25</t>
  </si>
  <si>
    <t>432 67 Veddige</t>
  </si>
  <si>
    <t>0340-307 44</t>
  </si>
  <si>
    <t>Maria Karlsson</t>
  </si>
  <si>
    <t>076-0451802</t>
  </si>
  <si>
    <t>maria.karlsson@hemkop.se</t>
  </si>
  <si>
    <t>556807-2804</t>
  </si>
  <si>
    <t>MK Livs AB</t>
  </si>
  <si>
    <t>Hemköp Vendelsö Sågen</t>
  </si>
  <si>
    <t>Sågenvägen 8</t>
  </si>
  <si>
    <t>136 71 Haninge</t>
  </si>
  <si>
    <t>08-776 01 50</t>
  </si>
  <si>
    <t>Fredrik Olsson</t>
  </si>
  <si>
    <t>070-7386108</t>
  </si>
  <si>
    <t>fredrik.olsson@hemkop.se</t>
  </si>
  <si>
    <t>556531-7780</t>
  </si>
  <si>
    <t>Olsson &amp; Lindborg AB</t>
  </si>
  <si>
    <t>Hemköp Vrigstad C</t>
  </si>
  <si>
    <t>Torget 5</t>
  </si>
  <si>
    <t>570 03 Vrigstad</t>
  </si>
  <si>
    <t>0382-300 04</t>
  </si>
  <si>
    <t>Magnus Thor</t>
  </si>
  <si>
    <t>070-5361432</t>
  </si>
  <si>
    <t>magnus.thor@hemkop.se</t>
  </si>
  <si>
    <t>556233-8169</t>
  </si>
  <si>
    <t>Thors Livs AB</t>
  </si>
  <si>
    <t>Hemköp Vänersborg Sundsgatan</t>
  </si>
  <si>
    <t>Sundsgatan 19b</t>
  </si>
  <si>
    <t>462 33 Vänersborg</t>
  </si>
  <si>
    <t>0521-660 55</t>
  </si>
  <si>
    <t>Besim Sejdiu</t>
  </si>
  <si>
    <t>073-7348197</t>
  </si>
  <si>
    <t>besim.sejdiu@hemkop.se</t>
  </si>
  <si>
    <t>556974-9236</t>
  </si>
  <si>
    <t>J &amp; B Handels AB</t>
  </si>
  <si>
    <t>0521- 660 55</t>
  </si>
  <si>
    <t>Hemköp Vänersborg Torpa</t>
  </si>
  <si>
    <t>Tegelbruksvägen 2</t>
  </si>
  <si>
    <t>462 03 Vänersborg</t>
  </si>
  <si>
    <t>0521-57 57 00</t>
  </si>
  <si>
    <t>Mattias Bengtsson</t>
  </si>
  <si>
    <t>070-8130250</t>
  </si>
  <si>
    <t>mattias.bengtsson@hemkop.se</t>
  </si>
  <si>
    <t xml:space="preserve">Malin Emanuelsson </t>
  </si>
  <si>
    <t>556230-6778</t>
  </si>
  <si>
    <t>Torpa Handel Aktiebolag</t>
  </si>
  <si>
    <t>0521-57 57 08</t>
  </si>
  <si>
    <t>Hemköp Värnamo C</t>
  </si>
  <si>
    <t>Enehagsvägen 2</t>
  </si>
  <si>
    <t>331 31 Värnamo</t>
  </si>
  <si>
    <t>0370-30 15 75</t>
  </si>
  <si>
    <t xml:space="preserve">Emil Kvarnström </t>
  </si>
  <si>
    <t>070-8700055</t>
  </si>
  <si>
    <t>emil.kvarnstrom1@hemkop.se</t>
  </si>
  <si>
    <t>070 759 90 92</t>
  </si>
  <si>
    <t>559019-8833</t>
  </si>
  <si>
    <t>Hemköp i Värnamo AB</t>
  </si>
  <si>
    <t>Hemköp Västerhaninge C</t>
  </si>
  <si>
    <t>Kyrkvägen 2</t>
  </si>
  <si>
    <t>137 38 Västerhaninge</t>
  </si>
  <si>
    <t>08-500 210 94</t>
  </si>
  <si>
    <t>Jonas Schenning/Petteri Kouvalainen</t>
  </si>
  <si>
    <t>072-3000326</t>
  </si>
  <si>
    <t>jonas.schenning@hemkop.se; petteri.kouvalainen1@hemkop.se; jimmy.fagelqvist@hemkop.se</t>
  </si>
  <si>
    <t>0723 00 03 26 </t>
  </si>
  <si>
    <t>556809-1176</t>
  </si>
  <si>
    <t>Västerhaninge Matmarknad AB</t>
  </si>
  <si>
    <t>073-520 68 59</t>
  </si>
  <si>
    <t>Hemköp Västervik C</t>
  </si>
  <si>
    <t>Västra Kyrkogatan 34</t>
  </si>
  <si>
    <t>593 33 Västervik</t>
  </si>
  <si>
    <t>0490-65 56 60</t>
  </si>
  <si>
    <t>Åsa Karlsson</t>
  </si>
  <si>
    <t>010-4744191</t>
  </si>
  <si>
    <t>butikschef.hemkopvastervikc.4191@hemkop.se</t>
  </si>
  <si>
    <t>0706 43 65 48</t>
  </si>
  <si>
    <t>Hemköp Västerås City</t>
  </si>
  <si>
    <t>Stora Gatan 58</t>
  </si>
  <si>
    <t>722 12 Västerås</t>
  </si>
  <si>
    <t>021-12 85 99</t>
  </si>
  <si>
    <t>Linda Sällman Björklund</t>
  </si>
  <si>
    <t>010-4744265</t>
  </si>
  <si>
    <t>linda.sallman.bjorklund@hemkop.se</t>
  </si>
  <si>
    <t>Stora gatan 58</t>
  </si>
  <si>
    <t>021-12 85 99 (butiken)</t>
  </si>
  <si>
    <t>Hemköp Västerås Malmaberg</t>
  </si>
  <si>
    <t>Gunnilbogatan 1</t>
  </si>
  <si>
    <t>723 40 Västerås</t>
  </si>
  <si>
    <t>021-12 27 27</t>
  </si>
  <si>
    <t>John Löwgren</t>
  </si>
  <si>
    <t>070-2061136</t>
  </si>
  <si>
    <t>john.lowgren@hemkop.se</t>
  </si>
  <si>
    <t>556635-5771</t>
  </si>
  <si>
    <t>Jool AB</t>
  </si>
  <si>
    <t xml:space="preserve">Hemköp Västerås Östermälarstrand </t>
  </si>
  <si>
    <t>Bäckahästgatan 1</t>
  </si>
  <si>
    <t>723 56 Västerås</t>
  </si>
  <si>
    <t>021-665 54 60</t>
  </si>
  <si>
    <t>TF Angelica Fantenberg</t>
  </si>
  <si>
    <t xml:space="preserve">010-4744220 </t>
  </si>
  <si>
    <t>butikschef.hemkopvasterasostermalarstrand.4220@hemkop.se</t>
  </si>
  <si>
    <t>0730 72 58 48</t>
  </si>
  <si>
    <t>Bäckahästgatan 2</t>
  </si>
  <si>
    <t>Notuddsallén 1</t>
  </si>
  <si>
    <t>Hemköp Växjö Högstorp</t>
  </si>
  <si>
    <t>Högstorpsvägen 98</t>
  </si>
  <si>
    <t>352 42 Växjö</t>
  </si>
  <si>
    <t>0470 - 74 69 15</t>
  </si>
  <si>
    <t>Jerker Hagfoss</t>
  </si>
  <si>
    <t>070-6680103</t>
  </si>
  <si>
    <t>jerker.hagfoss@hemkop.se</t>
  </si>
  <si>
    <t>556456-0752</t>
  </si>
  <si>
    <t>Best i Garvaren AB</t>
  </si>
  <si>
    <t>0470-74 69 15</t>
  </si>
  <si>
    <t>Hemköp Örebro Lucullus</t>
  </si>
  <si>
    <t>Storgatan 15</t>
  </si>
  <si>
    <t>703 61 Örebro</t>
  </si>
  <si>
    <t>019-16 61 00</t>
  </si>
  <si>
    <t>Marie Jansson</t>
  </si>
  <si>
    <t>070-6962733</t>
  </si>
  <si>
    <t>marie.jansson@hemkop.se</t>
  </si>
  <si>
    <t>556296-4394</t>
  </si>
  <si>
    <t>Järntorgshallen i Örebro AB</t>
  </si>
  <si>
    <t>Hemköp Örebro Svampen</t>
  </si>
  <si>
    <t>Mejeritorget 10 B</t>
  </si>
  <si>
    <t>703 80 Örebro</t>
  </si>
  <si>
    <t>019-368 07 10</t>
  </si>
  <si>
    <t>TF Karin Örnberg</t>
  </si>
  <si>
    <t>010-4744204</t>
  </si>
  <si>
    <t>butikschef.hemkoporebrosvampen.4204@hemkop.se</t>
  </si>
  <si>
    <t>0761 17 40 45</t>
  </si>
  <si>
    <t>Mejeritorget 16 C</t>
  </si>
  <si>
    <t xml:space="preserve">Hemköp Örnsköldsvik Domsjö </t>
  </si>
  <si>
    <t>Domsjövägen 2</t>
  </si>
  <si>
    <t>892 30 Domsjö</t>
  </si>
  <si>
    <t>0660-501 60</t>
  </si>
  <si>
    <t>TF Maria Ågren</t>
  </si>
  <si>
    <t>010-4744254</t>
  </si>
  <si>
    <t>butikschef.hemkopornskoldsvikdomsjo.4254@hemkop.se</t>
  </si>
  <si>
    <t>0722 49 90 33</t>
  </si>
  <si>
    <t>Hemköp Östenssons Borensberg C</t>
  </si>
  <si>
    <t>Hamnvägen 1</t>
  </si>
  <si>
    <t>590 31 Borensberg</t>
  </si>
  <si>
    <t xml:space="preserve">0141 - 20 91 80 </t>
  </si>
  <si>
    <t>Amanda Nilsson</t>
  </si>
  <si>
    <t>079-0062454</t>
  </si>
  <si>
    <t>amanda.nilsson@hemkop.se</t>
  </si>
  <si>
    <t>556090-1968</t>
  </si>
  <si>
    <t>Östenssons Livs AB</t>
  </si>
  <si>
    <t>Hemköp Östenssons Linköping Folkungavallen</t>
  </si>
  <si>
    <t>Badmästargatan 1</t>
  </si>
  <si>
    <t>582 43 Linköping</t>
  </si>
  <si>
    <t>0141 - 20 31 00</t>
  </si>
  <si>
    <t>Petra Eriksson</t>
  </si>
  <si>
    <t>079- 1429009</t>
  </si>
  <si>
    <t>petra.eriksson1@hemkop.se</t>
  </si>
  <si>
    <t>Hemköp Östenssons Linköping Ullstämma</t>
  </si>
  <si>
    <t>Värmevägen 2</t>
  </si>
  <si>
    <t>589 50 Linköping</t>
  </si>
  <si>
    <t>013 - 480 10 40</t>
  </si>
  <si>
    <t>Jeanette Claesson</t>
  </si>
  <si>
    <t>070-6310862</t>
  </si>
  <si>
    <t>jeanette.claesson@hemkop.se</t>
  </si>
  <si>
    <t>Hemköp Östenssons Motala Verkstan</t>
  </si>
  <si>
    <t>Verkstadstorget</t>
  </si>
  <si>
    <t>591 70 Motala</t>
  </si>
  <si>
    <t xml:space="preserve">0141 - 20 91 40 </t>
  </si>
  <si>
    <t>Fredrik Nöjd</t>
  </si>
  <si>
    <t>079-1426511</t>
  </si>
  <si>
    <t>fredrik.nojd@hemkop.se</t>
  </si>
  <si>
    <t>Hemköp Östenssons Motala Väster</t>
  </si>
  <si>
    <t>Råssnäsvägen 14</t>
  </si>
  <si>
    <t xml:space="preserve">0141 - 20 91 50 </t>
  </si>
  <si>
    <t>076-492 57 75</t>
  </si>
  <si>
    <t>sofie.nilsson1@hemkop.se</t>
  </si>
  <si>
    <t>Hemköp Östenssons Norrköping Björkalund</t>
  </si>
  <si>
    <t>Holmtorpsvägen 10</t>
  </si>
  <si>
    <t>603 79 Norrköping</t>
  </si>
  <si>
    <t>0141-20 91 00</t>
  </si>
  <si>
    <t>Hanna Andersson</t>
  </si>
  <si>
    <t>072-401 40 85</t>
  </si>
  <si>
    <t>hanna.andersson@hemkop.se</t>
  </si>
  <si>
    <t>Hemköp Östenssons Skänninge C</t>
  </si>
  <si>
    <t>Mjölbygatan 32</t>
  </si>
  <si>
    <t>596 34 Skänninge</t>
  </si>
  <si>
    <t>0142 - 29 98 60</t>
  </si>
  <si>
    <t>Thomas Karludde</t>
  </si>
  <si>
    <t>079-006 01 90</t>
  </si>
  <si>
    <t>thomas.karludde@hemkop.se</t>
  </si>
  <si>
    <t>Hemköp Östenssons Vadstena Mima</t>
  </si>
  <si>
    <t>Nådendalsvägen 11</t>
  </si>
  <si>
    <t>592 32 Vadstena</t>
  </si>
  <si>
    <t>0143 - 65 97 80</t>
  </si>
  <si>
    <t>Arvid Bramby</t>
  </si>
  <si>
    <t>073-088 88 82</t>
  </si>
  <si>
    <t>arvid.bramby@hemkop.se</t>
  </si>
  <si>
    <t xml:space="preserve">Hemköp Östenssons Vadstena Starby </t>
  </si>
  <si>
    <t>Kungs Starbyvägen 1</t>
  </si>
  <si>
    <t>592 40 Vadstena</t>
  </si>
  <si>
    <t>0143 - 29 770</t>
  </si>
  <si>
    <t>Josefine Larsson</t>
  </si>
  <si>
    <t>072-213 77 82</t>
  </si>
  <si>
    <t>josefine.larsson@hemkop.se</t>
  </si>
  <si>
    <t>Hemköp Östervåla</t>
  </si>
  <si>
    <t>Stora Torget 3:a</t>
  </si>
  <si>
    <t>740 46 Östervåla</t>
  </si>
  <si>
    <t>0292-101 93</t>
  </si>
  <si>
    <t>Henrik Olsson</t>
  </si>
  <si>
    <t>076-1131178</t>
  </si>
  <si>
    <t>henrik.olsson1@hemkop.se</t>
  </si>
  <si>
    <t>559155-7862</t>
  </si>
  <si>
    <t>Olssons Livs i Östervåla AB</t>
  </si>
  <si>
    <t xml:space="preserve">                                                                                            </t>
  </si>
  <si>
    <t>Objektnamn</t>
  </si>
  <si>
    <t>Överordnat objekt</t>
  </si>
  <si>
    <t>Hemköp kedjan</t>
  </si>
  <si>
    <t>Axfood Sverige</t>
  </si>
  <si>
    <t xml:space="preserve"> -</t>
  </si>
  <si>
    <t>Objektherarkiskt intrimnumer</t>
  </si>
  <si>
    <t>Överordnat objekt intrim</t>
  </si>
  <si>
    <t>Postnr</t>
  </si>
  <si>
    <t>362 21</t>
  </si>
  <si>
    <t>Tingsryd</t>
  </si>
  <si>
    <t>294 00</t>
  </si>
  <si>
    <t>Sölvesborg</t>
  </si>
  <si>
    <t>145 51</t>
  </si>
  <si>
    <t>Norsborg</t>
  </si>
  <si>
    <t>165 55</t>
  </si>
  <si>
    <t>Hässelby</t>
  </si>
  <si>
    <t>443 42</t>
  </si>
  <si>
    <t>Gråbo</t>
  </si>
  <si>
    <t>151 65</t>
  </si>
  <si>
    <t>Södertälje</t>
  </si>
  <si>
    <t>242 33</t>
  </si>
  <si>
    <t>Hörby</t>
  </si>
  <si>
    <t>134 60</t>
  </si>
  <si>
    <t>Ingarö</t>
  </si>
  <si>
    <t>711 34</t>
  </si>
  <si>
    <t>Lindesberg</t>
  </si>
  <si>
    <t>147 54</t>
  </si>
  <si>
    <t>Tumba</t>
  </si>
  <si>
    <t>141 75</t>
  </si>
  <si>
    <t>Kungens Kurva</t>
  </si>
  <si>
    <t>175 41</t>
  </si>
  <si>
    <t>Järfälla</t>
  </si>
  <si>
    <t>953 34</t>
  </si>
  <si>
    <t>Haparanda</t>
  </si>
  <si>
    <t>114 27</t>
  </si>
  <si>
    <t>Stockholm</t>
  </si>
  <si>
    <t>822 31</t>
  </si>
  <si>
    <t>Alfta</t>
  </si>
  <si>
    <t>441 32</t>
  </si>
  <si>
    <t>Alingsås</t>
  </si>
  <si>
    <t>774 33</t>
  </si>
  <si>
    <t>Avesta</t>
  </si>
  <si>
    <t>774 40</t>
  </si>
  <si>
    <t>167 58</t>
  </si>
  <si>
    <t>Bromma</t>
  </si>
  <si>
    <t>743 62</t>
  </si>
  <si>
    <t>Björklinge</t>
  </si>
  <si>
    <t>517 23</t>
  </si>
  <si>
    <t>Bollebygd</t>
  </si>
  <si>
    <t>781 71</t>
  </si>
  <si>
    <t>Borlänge</t>
  </si>
  <si>
    <t>746 33</t>
  </si>
  <si>
    <t>Bålsta</t>
  </si>
  <si>
    <t>786 72</t>
  </si>
  <si>
    <t>Dala-Järna</t>
  </si>
  <si>
    <t>247 50</t>
  </si>
  <si>
    <t>Dalby</t>
  </si>
  <si>
    <t>182 31</t>
  </si>
  <si>
    <t>Danderyd</t>
  </si>
  <si>
    <t>820 60</t>
  </si>
  <si>
    <t>Delsbo</t>
  </si>
  <si>
    <t>474 31</t>
  </si>
  <si>
    <t>Ellös</t>
  </si>
  <si>
    <t>632 20</t>
  </si>
  <si>
    <t>Eskilstuna</t>
  </si>
  <si>
    <t>791 71</t>
  </si>
  <si>
    <t>Falun</t>
  </si>
  <si>
    <t>791 46</t>
  </si>
  <si>
    <t>732 71</t>
  </si>
  <si>
    <t>Fellingsbro</t>
  </si>
  <si>
    <t>646 30</t>
  </si>
  <si>
    <t>Gnesta</t>
  </si>
  <si>
    <t>64 31 G</t>
  </si>
  <si>
    <t>rums</t>
  </si>
  <si>
    <t>467 30</t>
  </si>
  <si>
    <t>Grästorp</t>
  </si>
  <si>
    <t>134 40</t>
  </si>
  <si>
    <t>Gustavsberg</t>
  </si>
  <si>
    <t>413 12</t>
  </si>
  <si>
    <t>Göteborg</t>
  </si>
  <si>
    <t>421 44</t>
  </si>
  <si>
    <t>Västra Frölunda</t>
  </si>
  <si>
    <t>413 23</t>
  </si>
  <si>
    <t>414 83</t>
  </si>
  <si>
    <t>415 10</t>
  </si>
  <si>
    <t>413 04</t>
  </si>
  <si>
    <t>417 11</t>
  </si>
  <si>
    <t>426 77</t>
  </si>
  <si>
    <t>414 55</t>
  </si>
  <si>
    <t>413 27</t>
  </si>
  <si>
    <t>413 09</t>
  </si>
  <si>
    <t>411 09</t>
  </si>
  <si>
    <t>421 62</t>
  </si>
  <si>
    <t>422 48</t>
  </si>
  <si>
    <t>Hisings Backa</t>
  </si>
  <si>
    <t>414 63</t>
  </si>
  <si>
    <t>423 21</t>
  </si>
  <si>
    <t>Torslanda</t>
  </si>
  <si>
    <t>411 24</t>
  </si>
  <si>
    <t>302 42</t>
  </si>
  <si>
    <t>Halmstad</t>
  </si>
  <si>
    <t>136 46</t>
  </si>
  <si>
    <t>Haninge</t>
  </si>
  <si>
    <t>136 47</t>
  </si>
  <si>
    <t>310 42</t>
  </si>
  <si>
    <t>Haverdal</t>
  </si>
  <si>
    <t>776 33</t>
  </si>
  <si>
    <t>Hedemora</t>
  </si>
  <si>
    <t>254 82</t>
  </si>
  <si>
    <t>Helsingborg</t>
  </si>
  <si>
    <t>257 30</t>
  </si>
  <si>
    <t>Rydebäck</t>
  </si>
  <si>
    <t>254 44</t>
  </si>
  <si>
    <t>252 25</t>
  </si>
  <si>
    <t>524 30</t>
  </si>
  <si>
    <t>Herrljunga</t>
  </si>
  <si>
    <t>141 47</t>
  </si>
  <si>
    <t>Huddinge</t>
  </si>
  <si>
    <t>141 41</t>
  </si>
  <si>
    <t>824 30</t>
  </si>
  <si>
    <t>Hudiksvall</t>
  </si>
  <si>
    <t>871 31</t>
  </si>
  <si>
    <t>Härnösand</t>
  </si>
  <si>
    <t>793 41</t>
  </si>
  <si>
    <t>Insjön</t>
  </si>
  <si>
    <t>177 30</t>
  </si>
  <si>
    <t>177 47</t>
  </si>
  <si>
    <t>176 77</t>
  </si>
  <si>
    <t>553 16</t>
  </si>
  <si>
    <t>Jönköping</t>
  </si>
  <si>
    <t>553 30</t>
  </si>
  <si>
    <t>392 48</t>
  </si>
  <si>
    <t>Kalmar</t>
  </si>
  <si>
    <t>371 33</t>
  </si>
  <si>
    <t>Karlskrona</t>
  </si>
  <si>
    <t>652 25</t>
  </si>
  <si>
    <t>Karlstad</t>
  </si>
  <si>
    <t>511 54</t>
  </si>
  <si>
    <t>Kinna</t>
  </si>
  <si>
    <t>590 40</t>
  </si>
  <si>
    <t>Kisa</t>
  </si>
  <si>
    <t>730 40</t>
  </si>
  <si>
    <t>Kolbäck</t>
  </si>
  <si>
    <t>429 30</t>
  </si>
  <si>
    <t>Kullavik</t>
  </si>
  <si>
    <t>427 50</t>
  </si>
  <si>
    <t>Billdal</t>
  </si>
  <si>
    <t>434 43</t>
  </si>
  <si>
    <t>Kungsbacka</t>
  </si>
  <si>
    <t>434 30</t>
  </si>
  <si>
    <t>731 30</t>
  </si>
  <si>
    <t>Köping</t>
  </si>
  <si>
    <t>793 30</t>
  </si>
  <si>
    <t>Leksand</t>
  </si>
  <si>
    <t>443 30</t>
  </si>
  <si>
    <t>Lerum</t>
  </si>
  <si>
    <t>181 62</t>
  </si>
  <si>
    <t>Lidingö</t>
  </si>
  <si>
    <t>531 31</t>
  </si>
  <si>
    <t>Lidköping</t>
  </si>
  <si>
    <t>582 19</t>
  </si>
  <si>
    <t>Linköping</t>
  </si>
  <si>
    <t>584 32</t>
  </si>
  <si>
    <t>582 23</t>
  </si>
  <si>
    <t>582 74</t>
  </si>
  <si>
    <t>582 77</t>
  </si>
  <si>
    <t>260 70</t>
  </si>
  <si>
    <t>Ljungbyhed</t>
  </si>
  <si>
    <t>590 60</t>
  </si>
  <si>
    <t>Ljungsbro</t>
  </si>
  <si>
    <t>224 81</t>
  </si>
  <si>
    <t>Lund</t>
  </si>
  <si>
    <t>223 58</t>
  </si>
  <si>
    <t>642 60</t>
  </si>
  <si>
    <t>Malmköping</t>
  </si>
  <si>
    <t>216 33</t>
  </si>
  <si>
    <t>Limhamn</t>
  </si>
  <si>
    <t>217 48</t>
  </si>
  <si>
    <t>Malmö</t>
  </si>
  <si>
    <t>211 43</t>
  </si>
  <si>
    <t>212 12</t>
  </si>
  <si>
    <t>782 31</t>
  </si>
  <si>
    <t>Malung</t>
  </si>
  <si>
    <t>464 33</t>
  </si>
  <si>
    <t>Mellerud</t>
  </si>
  <si>
    <t>464 31</t>
  </si>
  <si>
    <t>595 31</t>
  </si>
  <si>
    <t>Mjölby</t>
  </si>
  <si>
    <t>591 39</t>
  </si>
  <si>
    <t>Motala</t>
  </si>
  <si>
    <t>455 35</t>
  </si>
  <si>
    <t>Munkedal</t>
  </si>
  <si>
    <t>431 47</t>
  </si>
  <si>
    <t>Mölndal</t>
  </si>
  <si>
    <t>431 30</t>
  </si>
  <si>
    <t>435 30</t>
  </si>
  <si>
    <t>Mölnlycke</t>
  </si>
  <si>
    <t>131 53</t>
  </si>
  <si>
    <t>Nacka</t>
  </si>
  <si>
    <t>131 54</t>
  </si>
  <si>
    <t>602 20</t>
  </si>
  <si>
    <t>Norrköping</t>
  </si>
  <si>
    <t>602 39</t>
  </si>
  <si>
    <t>603 85</t>
  </si>
  <si>
    <t>603 51</t>
  </si>
  <si>
    <t>465 31</t>
  </si>
  <si>
    <t>Nossebro</t>
  </si>
  <si>
    <t>611 32</t>
  </si>
  <si>
    <t>Nyköping</t>
  </si>
  <si>
    <t>611 31</t>
  </si>
  <si>
    <t>439 23</t>
  </si>
  <si>
    <t>Onsala</t>
  </si>
  <si>
    <t>313 32</t>
  </si>
  <si>
    <t>Oskarström</t>
  </si>
  <si>
    <t>795 30</t>
  </si>
  <si>
    <t>Rättvik</t>
  </si>
  <si>
    <t>115 20</t>
  </si>
  <si>
    <t>132 45</t>
  </si>
  <si>
    <t>Saltsjö-Boo</t>
  </si>
  <si>
    <t>275 61</t>
  </si>
  <si>
    <t>Blentarp</t>
  </si>
  <si>
    <t>568 30</t>
  </si>
  <si>
    <t>Skillingaryd</t>
  </si>
  <si>
    <t>541 30</t>
  </si>
  <si>
    <t>Skövde</t>
  </si>
  <si>
    <t>54154 S</t>
  </si>
  <si>
    <t>kövde</t>
  </si>
  <si>
    <t>541 64</t>
  </si>
  <si>
    <t>192 07</t>
  </si>
  <si>
    <t>Sollentuna</t>
  </si>
  <si>
    <t>192 56</t>
  </si>
  <si>
    <t>171 45</t>
  </si>
  <si>
    <t>Solna</t>
  </si>
  <si>
    <t>169 73</t>
  </si>
  <si>
    <t>171 54</t>
  </si>
  <si>
    <t>169 79</t>
  </si>
  <si>
    <t>170 65</t>
  </si>
  <si>
    <t>444 60</t>
  </si>
  <si>
    <t>Stora Höga</t>
  </si>
  <si>
    <t>113 56</t>
  </si>
  <si>
    <t>168 48</t>
  </si>
  <si>
    <t>127 02</t>
  </si>
  <si>
    <t>Skärholmen</t>
  </si>
  <si>
    <t>111 21</t>
  </si>
  <si>
    <t>115 42 </t>
  </si>
  <si>
    <t>123 47</t>
  </si>
  <si>
    <t>Farsta</t>
  </si>
  <si>
    <t>118 54</t>
  </si>
  <si>
    <t>129 52</t>
  </si>
  <si>
    <t>Hägersten</t>
  </si>
  <si>
    <t>121 40</t>
  </si>
  <si>
    <t>Johanneshov</t>
  </si>
  <si>
    <t>115 38</t>
  </si>
  <si>
    <t>165 62</t>
  </si>
  <si>
    <t>115 31</t>
  </si>
  <si>
    <t>162 47</t>
  </si>
  <si>
    <t>Vällingby</t>
  </si>
  <si>
    <t>112 59</t>
  </si>
  <si>
    <t>113 27</t>
  </si>
  <si>
    <t>162 74</t>
  </si>
  <si>
    <t>118 60</t>
  </si>
  <si>
    <t>128 62</t>
  </si>
  <si>
    <t>Sköndal</t>
  </si>
  <si>
    <t>128 66</t>
  </si>
  <si>
    <t>112 17</t>
  </si>
  <si>
    <t>113 65</t>
  </si>
  <si>
    <t>162 13</t>
  </si>
  <si>
    <t>129 04</t>
  </si>
  <si>
    <t>113 28</t>
  </si>
  <si>
    <t>125 23</t>
  </si>
  <si>
    <t>Älvsjö</t>
  </si>
  <si>
    <t>168 56</t>
  </si>
  <si>
    <t>125 42</t>
  </si>
  <si>
    <t>114 39</t>
  </si>
  <si>
    <t>645 31</t>
  </si>
  <si>
    <t>Strängnäs</t>
  </si>
  <si>
    <t>172 31</t>
  </si>
  <si>
    <t>Sundbyberg</t>
  </si>
  <si>
    <t>174 57</t>
  </si>
  <si>
    <t>472 32</t>
  </si>
  <si>
    <t>Svanesund</t>
  </si>
  <si>
    <t>233 31</t>
  </si>
  <si>
    <t>Svedala</t>
  </si>
  <si>
    <t>429 41</t>
  </si>
  <si>
    <t>614 34</t>
  </si>
  <si>
    <t>Söderköping</t>
  </si>
  <si>
    <t>152 28</t>
  </si>
  <si>
    <t>780 67</t>
  </si>
  <si>
    <t>Sälen</t>
  </si>
  <si>
    <t>815 38</t>
  </si>
  <si>
    <t>Tierp</t>
  </si>
  <si>
    <t>471 60</t>
  </si>
  <si>
    <t>Myggenäs</t>
  </si>
  <si>
    <t>644 30</t>
  </si>
  <si>
    <t>Torshälla</t>
  </si>
  <si>
    <t>573 33</t>
  </si>
  <si>
    <t>Tranås</t>
  </si>
  <si>
    <t>461 51</t>
  </si>
  <si>
    <t>Trollhättan</t>
  </si>
  <si>
    <t>461 31</t>
  </si>
  <si>
    <t>146 30</t>
  </si>
  <si>
    <t>Tullinge</t>
  </si>
  <si>
    <t>135 44</t>
  </si>
  <si>
    <t>Tyresö</t>
  </si>
  <si>
    <t>135 35</t>
  </si>
  <si>
    <t>135 02</t>
  </si>
  <si>
    <t>282 35</t>
  </si>
  <si>
    <t>Tyringe</t>
  </si>
  <si>
    <t>183 54</t>
  </si>
  <si>
    <t>Täby</t>
  </si>
  <si>
    <t>194 47</t>
  </si>
  <si>
    <t>Upplands Väsby</t>
  </si>
  <si>
    <t>752 37</t>
  </si>
  <si>
    <t>Uppsala</t>
  </si>
  <si>
    <t>753 20</t>
  </si>
  <si>
    <t>752 43</t>
  </si>
  <si>
    <t>615 31</t>
  </si>
  <si>
    <t>Valdemarsvik</t>
  </si>
  <si>
    <t>432 67</t>
  </si>
  <si>
    <t>Veddige</t>
  </si>
  <si>
    <t>136 71</t>
  </si>
  <si>
    <t>570 03</t>
  </si>
  <si>
    <t>Vrigstad</t>
  </si>
  <si>
    <t>462 33</t>
  </si>
  <si>
    <t>Vänersborg</t>
  </si>
  <si>
    <t>462 03</t>
  </si>
  <si>
    <t>331 31</t>
  </si>
  <si>
    <t>Värnamo</t>
  </si>
  <si>
    <t>137 38</t>
  </si>
  <si>
    <t>Västerhaninge</t>
  </si>
  <si>
    <t>593 33</t>
  </si>
  <si>
    <t>Västervik</t>
  </si>
  <si>
    <t>722 12</t>
  </si>
  <si>
    <t>Västerås</t>
  </si>
  <si>
    <t>723 40</t>
  </si>
  <si>
    <t>723 56</t>
  </si>
  <si>
    <t>352 42</t>
  </si>
  <si>
    <t>Växjö</t>
  </si>
  <si>
    <t>703 61</t>
  </si>
  <si>
    <t>Örebro</t>
  </si>
  <si>
    <t>703 80</t>
  </si>
  <si>
    <t>892 30</t>
  </si>
  <si>
    <t>Domsjö</t>
  </si>
  <si>
    <t>590 31</t>
  </si>
  <si>
    <t>Borensberg</t>
  </si>
  <si>
    <t>582 43</t>
  </si>
  <si>
    <t>589 50</t>
  </si>
  <si>
    <t>591 70</t>
  </si>
  <si>
    <t>603 79</t>
  </si>
  <si>
    <t>596 34</t>
  </si>
  <si>
    <t>Skänninge</t>
  </si>
  <si>
    <t>592 32</t>
  </si>
  <si>
    <t>Vadstena</t>
  </si>
  <si>
    <t>592 40</t>
  </si>
  <si>
    <t>740 46</t>
  </si>
  <si>
    <t>Östervåla</t>
  </si>
  <si>
    <t>Intrumnummer</t>
  </si>
  <si>
    <t>Fasta objektimportfält</t>
  </si>
  <si>
    <t>Metadata</t>
  </si>
  <si>
    <t>Region (Metadata asociationsnamn)</t>
  </si>
  <si>
    <t>Butikschef</t>
  </si>
  <si>
    <t xml:space="preserve">Region </t>
  </si>
  <si>
    <t>Namn</t>
  </si>
  <si>
    <t>E-post</t>
  </si>
  <si>
    <t>Nummer</t>
  </si>
  <si>
    <t>Beskrivning</t>
  </si>
  <si>
    <t>Dataformat</t>
  </si>
  <si>
    <t>Datafält</t>
  </si>
  <si>
    <t>Kontakt</t>
  </si>
  <si>
    <t>Nivålåst</t>
  </si>
  <si>
    <t>Namn på kontaktperson</t>
  </si>
  <si>
    <t>Alfanumeriskt</t>
  </si>
  <si>
    <t>Förnmn, efternamn, Titel, Företag, telefon, e-post</t>
  </si>
  <si>
    <t>Nej</t>
  </si>
  <si>
    <t>Vinjetbild</t>
  </si>
  <si>
    <t>Bild på objekt</t>
  </si>
  <si>
    <t>Tillåt dubletter</t>
  </si>
  <si>
    <t>Kronologisk visning</t>
  </si>
  <si>
    <t>Ja</t>
  </si>
  <si>
    <t>JPG</t>
  </si>
  <si>
    <t>Bildfilrefferens</t>
  </si>
  <si>
    <t>ja</t>
  </si>
  <si>
    <t>Typ</t>
  </si>
  <si>
    <t>Objekttyp</t>
  </si>
  <si>
    <t>Objektyp</t>
  </si>
  <si>
    <t>Antal</t>
  </si>
  <si>
    <t>Metadataområde</t>
  </si>
  <si>
    <t>Grunduppgifter</t>
  </si>
  <si>
    <t>Yta</t>
  </si>
  <si>
    <t>Storlek</t>
  </si>
  <si>
    <t>Produktion</t>
  </si>
  <si>
    <t>Antal m2</t>
  </si>
  <si>
    <t>Fasta val</t>
  </si>
  <si>
    <t>Numeriskt</t>
  </si>
  <si>
    <t>Smal/medium/large</t>
  </si>
  <si>
    <t>Status</t>
  </si>
  <si>
    <t>Lyftkrok</t>
  </si>
  <si>
    <t>3 storlekar</t>
  </si>
  <si>
    <t>Kontroll lyftkrok</t>
  </si>
  <si>
    <t>antal</t>
  </si>
  <si>
    <t>antal m2</t>
  </si>
  <si>
    <t>Pantkärl</t>
  </si>
  <si>
    <t>Matavfallskärl</t>
  </si>
  <si>
    <t>Kuundvagnsgarage</t>
  </si>
  <si>
    <t>Tömningsdag</t>
  </si>
  <si>
    <t>Släktnamn</t>
  </si>
  <si>
    <t>Skapas av Traivo</t>
  </si>
  <si>
    <t>Objekt typ</t>
  </si>
  <si>
    <t>Färg</t>
  </si>
  <si>
    <t xml:space="preserve">Grön </t>
  </si>
  <si>
    <t xml:space="preserve">Blå </t>
  </si>
  <si>
    <t xml:space="preserve">Brun </t>
  </si>
  <si>
    <t>Namn som bildar släktnamn  med överordnat</t>
  </si>
  <si>
    <t>Objektnamn mandatory systemfält</t>
  </si>
  <si>
    <t>Ref assosiations Namn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</si>
</sst>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name val="Axfood Sans"/>
    </font>
    <font>
      <b/>
      <sz val="10"/>
      <name val="Axfood Sans"/>
    </font>
    <font>
      <sz val="8"/>
      <name val="Axfood Sans"/>
    </font>
    <font>
      <sz val="8"/>
      <color theme="1"/>
      <name val="Axfood Sans"/>
    </font>
    <font>
      <b/>
      <sz val="10"/>
      <color rgb="FFFF0000"/>
      <name val="Axfood Sans"/>
    </font>
    <font>
      <sz val="8"/>
      <color rgb="FFFF0000"/>
      <name val="Axfood Sans"/>
    </font>
    <font>
      <u/>
      <sz val="10"/>
      <color theme="10"/>
      <name val="Axfood Sans"/>
    </font>
    <font>
      <sz val="10"/>
      <name val="Axfood Sans"/>
    </font>
    <font>
      <u/>
      <sz val="10"/>
      <color rgb="FFFF0000"/>
      <name val="Axfood Sans"/>
    </font>
    <font>
      <b/>
      <sz val="10"/>
      <color theme="1"/>
      <name val="Axfood Sans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3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8" fillId="0" borderId="1" xfId="1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9" fillId="0" borderId="1" xfId="0" applyFont="1" applyBorder="1"/>
    <xf numFmtId="0" fontId="10" fillId="0" borderId="1" xfId="1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/>
    <xf numFmtId="0" fontId="4" fillId="0" borderId="2" xfId="0" applyFont="1" applyBorder="1" applyAlignment="1">
      <alignment wrapText="1"/>
    </xf>
    <xf numFmtId="0" fontId="11" fillId="0" borderId="1" xfId="0" applyFont="1" applyBorder="1"/>
    <xf numFmtId="0" fontId="5" fillId="0" borderId="1" xfId="0" applyFont="1" applyBorder="1" applyAlignment="1">
      <alignment horizontal="left" wrapText="1"/>
    </xf>
    <xf numFmtId="0" fontId="9" fillId="0" borderId="0" xfId="0" applyFont="1"/>
    <xf numFmtId="0" fontId="3" fillId="0" borderId="0" xfId="0" applyFont="1"/>
    <xf numFmtId="0" fontId="9" fillId="0" borderId="0" xfId="0" applyFont="1" applyAlignment="1">
      <alignment horizontal="left"/>
    </xf>
    <xf numFmtId="0" fontId="9" fillId="0" borderId="0" xfId="0" quotePrefix="1" applyFont="1"/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6" fillId="3" borderId="0" xfId="0" applyFont="1" applyFill="1"/>
    <xf numFmtId="0" fontId="14" fillId="4" borderId="1" xfId="0" applyFont="1" applyFill="1" applyBorder="1"/>
    <xf numFmtId="0" fontId="12" fillId="4" borderId="1" xfId="0" applyFont="1" applyFill="1" applyBorder="1"/>
    <xf numFmtId="0" fontId="12" fillId="4" borderId="1" xfId="0" applyFont="1" applyFill="1" applyBorder="1" applyAlignment="1">
      <alignment wrapText="1"/>
    </xf>
    <xf numFmtId="0" fontId="15" fillId="4" borderId="1" xfId="0" applyFont="1" applyFill="1" applyBorder="1"/>
    <xf numFmtId="0" fontId="15" fillId="4" borderId="1" xfId="0" applyFont="1" applyFill="1" applyBorder="1" applyAlignment="1">
      <alignment wrapText="1"/>
    </xf>
    <xf numFmtId="0" fontId="13" fillId="4" borderId="1" xfId="0" applyFont="1" applyFill="1" applyBorder="1"/>
    <xf numFmtId="0" fontId="13" fillId="4" borderId="1" xfId="0" applyFont="1" applyFill="1" applyBorder="1" applyAlignment="1">
      <alignment wrapText="1"/>
    </xf>
    <xf numFmtId="0" fontId="14" fillId="3" borderId="3" xfId="0" applyFont="1" applyFill="1" applyBorder="1"/>
    <xf numFmtId="0" fontId="12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6" fillId="4" borderId="1" xfId="0" applyFont="1" applyFill="1" applyBorder="1"/>
    <xf numFmtId="0" fontId="14" fillId="5" borderId="1" xfId="0" applyFont="1" applyFill="1" applyBorder="1"/>
    <xf numFmtId="0" fontId="12" fillId="5" borderId="1" xfId="0" applyFont="1" applyFill="1" applyBorder="1"/>
    <xf numFmtId="0" fontId="17" fillId="5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8" fillId="5" borderId="1" xfId="0" applyFont="1" applyFill="1" applyBorder="1"/>
    <xf numFmtId="0" fontId="14" fillId="6" borderId="1" xfId="0" applyFont="1" applyFill="1" applyBorder="1"/>
    <xf numFmtId="0" fontId="14" fillId="7" borderId="1" xfId="0" applyFont="1" applyFill="1" applyBorder="1"/>
    <xf numFmtId="0" fontId="12" fillId="7" borderId="1" xfId="0" applyFont="1" applyFill="1" applyBorder="1"/>
    <xf numFmtId="0" fontId="0" fillId="8" borderId="1" xfId="0" applyFill="1" applyBorder="1"/>
    <xf numFmtId="0" fontId="19" fillId="0" borderId="0" xfId="0" applyFont="1"/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butikschef.hemkopgoteborglundbypark.4222@hemkop.se" TargetMode="External"/><Relationship Id="rId21" Type="http://schemas.openxmlformats.org/officeDocument/2006/relationships/hyperlink" Target="mailto:krister.lennartsson@hemkop.se" TargetMode="External"/><Relationship Id="rId42" Type="http://schemas.openxmlformats.org/officeDocument/2006/relationships/hyperlink" Target="mailto:daniel.quist@hemkop.se;andreas.quist@hemkop.se" TargetMode="External"/><Relationship Id="rId47" Type="http://schemas.openxmlformats.org/officeDocument/2006/relationships/hyperlink" Target="mailto:eva-lena.nilsson@hemkop.se" TargetMode="External"/><Relationship Id="rId63" Type="http://schemas.openxmlformats.org/officeDocument/2006/relationships/hyperlink" Target="mailto:fabian.granath@hemkop.se" TargetMode="External"/><Relationship Id="rId68" Type="http://schemas.openxmlformats.org/officeDocument/2006/relationships/hyperlink" Target="mailto:butikschef.hemkopstockholmcity.4297@hemkop.se" TargetMode="External"/><Relationship Id="rId84" Type="http://schemas.openxmlformats.org/officeDocument/2006/relationships/hyperlink" Target="mailto:erik.pihl@hemkop.se" TargetMode="External"/><Relationship Id="rId89" Type="http://schemas.openxmlformats.org/officeDocument/2006/relationships/hyperlink" Target="mailto:erik.bergstrom@hemkop.se;magnus.lindberg@hemkop.se" TargetMode="External"/><Relationship Id="rId112" Type="http://schemas.openxmlformats.org/officeDocument/2006/relationships/hyperlink" Target="mailto:thomas.karludde@hemkop.se" TargetMode="External"/><Relationship Id="rId16" Type="http://schemas.openxmlformats.org/officeDocument/2006/relationships/hyperlink" Target="mailto:lars.wiss@hemkop.se" TargetMode="External"/><Relationship Id="rId107" Type="http://schemas.openxmlformats.org/officeDocument/2006/relationships/hyperlink" Target="mailto:maria.agren@hemkop.se" TargetMode="External"/><Relationship Id="rId11" Type="http://schemas.openxmlformats.org/officeDocument/2006/relationships/hyperlink" Target="mailto:krister.nordgren@hemkop.se" TargetMode="External"/><Relationship Id="rId32" Type="http://schemas.openxmlformats.org/officeDocument/2006/relationships/hyperlink" Target="mailto:jorgen.westman@hemkop.se" TargetMode="External"/><Relationship Id="rId37" Type="http://schemas.openxmlformats.org/officeDocument/2006/relationships/hyperlink" Target="mailto:henrik.liljedahl@hemkop.se" TargetMode="External"/><Relationship Id="rId53" Type="http://schemas.openxmlformats.org/officeDocument/2006/relationships/hyperlink" Target="mailto:butikschef.hemkopmolndalc.4231@hemkop.se" TargetMode="External"/><Relationship Id="rId58" Type="http://schemas.openxmlformats.org/officeDocument/2006/relationships/hyperlink" Target="mailto:cecilia.hedman.stenqvist@hemkop.se" TargetMode="External"/><Relationship Id="rId74" Type="http://schemas.openxmlformats.org/officeDocument/2006/relationships/hyperlink" Target="mailto:tomas.lindborg@hemkop.se" TargetMode="External"/><Relationship Id="rId79" Type="http://schemas.openxmlformats.org/officeDocument/2006/relationships/hyperlink" Target="mailto:tiina.koivisto@hemkop.se" TargetMode="External"/><Relationship Id="rId102" Type="http://schemas.openxmlformats.org/officeDocument/2006/relationships/hyperlink" Target="mailto:jimmy.fagelqvist@hemkop.se" TargetMode="External"/><Relationship Id="rId5" Type="http://schemas.openxmlformats.org/officeDocument/2006/relationships/hyperlink" Target="mailto:bengt.hansson@butikskontakt.se" TargetMode="External"/><Relationship Id="rId90" Type="http://schemas.openxmlformats.org/officeDocument/2006/relationships/hyperlink" Target="mailto:martin.lundstrom@hemkop.se" TargetMode="External"/><Relationship Id="rId95" Type="http://schemas.openxmlformats.org/officeDocument/2006/relationships/hyperlink" Target="mailto:daniel.jeppsson@hemkop.se" TargetMode="External"/><Relationship Id="rId22" Type="http://schemas.openxmlformats.org/officeDocument/2006/relationships/hyperlink" Target="mailto:andreas.lindahl@hemkop.se" TargetMode="External"/><Relationship Id="rId27" Type="http://schemas.openxmlformats.org/officeDocument/2006/relationships/hyperlink" Target="mailto:mikael.pettersson@hemkop.se" TargetMode="External"/><Relationship Id="rId43" Type="http://schemas.openxmlformats.org/officeDocument/2006/relationships/hyperlink" Target="mailto:daniel.quist@hemkop.se;andreas.quist@hemkop.se" TargetMode="External"/><Relationship Id="rId48" Type="http://schemas.openxmlformats.org/officeDocument/2006/relationships/hyperlink" Target="mailto:bjorn.fullmestad@hemkop.se;fredrik.fullmestad@hemkop.se" TargetMode="External"/><Relationship Id="rId64" Type="http://schemas.openxmlformats.org/officeDocument/2006/relationships/hyperlink" Target="mailto:lars.nordevik@hemkop.se" TargetMode="External"/><Relationship Id="rId69" Type="http://schemas.openxmlformats.org/officeDocument/2006/relationships/hyperlink" Target="mailto:fredrik.camitz@hemkop.se" TargetMode="External"/><Relationship Id="rId113" Type="http://schemas.openxmlformats.org/officeDocument/2006/relationships/hyperlink" Target="mailto:sofie.nilsson1@hemkop.se" TargetMode="External"/><Relationship Id="rId80" Type="http://schemas.openxmlformats.org/officeDocument/2006/relationships/hyperlink" Target="mailto:butikschef.hemkopstockholmtorsplan.4190@hemkop.se" TargetMode="External"/><Relationship Id="rId85" Type="http://schemas.openxmlformats.org/officeDocument/2006/relationships/hyperlink" Target="mailto:veronica.wahlqvist@hemkop.se" TargetMode="External"/><Relationship Id="rId12" Type="http://schemas.openxmlformats.org/officeDocument/2006/relationships/hyperlink" Target="mailto:kristoffer.pettersson@hemkop.se" TargetMode="External"/><Relationship Id="rId17" Type="http://schemas.openxmlformats.org/officeDocument/2006/relationships/hyperlink" Target="mailto:calle.lindqvist@hemkop.se" TargetMode="External"/><Relationship Id="rId33" Type="http://schemas.openxmlformats.org/officeDocument/2006/relationships/hyperlink" Target="mailto:camilla.sundheden@hemkop.se" TargetMode="External"/><Relationship Id="rId38" Type="http://schemas.openxmlformats.org/officeDocument/2006/relationships/hyperlink" Target="mailto:daniel.moberg@hemkop.se" TargetMode="External"/><Relationship Id="rId59" Type="http://schemas.openxmlformats.org/officeDocument/2006/relationships/hyperlink" Target="mailto:mikael.melkersson@hemkop.se" TargetMode="External"/><Relationship Id="rId103" Type="http://schemas.openxmlformats.org/officeDocument/2006/relationships/hyperlink" Target="mailto:butikschef.hemkopvastervikc.4191@hemkop.se" TargetMode="External"/><Relationship Id="rId108" Type="http://schemas.openxmlformats.org/officeDocument/2006/relationships/hyperlink" Target="mailto:amanda.nilsson@hemkop.se" TargetMode="External"/><Relationship Id="rId54" Type="http://schemas.openxmlformats.org/officeDocument/2006/relationships/hyperlink" Target="mailto:butikschef.hemkopnackaforum.4201@hemkop.se" TargetMode="External"/><Relationship Id="rId70" Type="http://schemas.openxmlformats.org/officeDocument/2006/relationships/hyperlink" Target="mailto:alexander.roosmark@hemkop.se" TargetMode="External"/><Relationship Id="rId75" Type="http://schemas.openxmlformats.org/officeDocument/2006/relationships/hyperlink" Target="mailto:petter.mahler@hemkop.se" TargetMode="External"/><Relationship Id="rId91" Type="http://schemas.openxmlformats.org/officeDocument/2006/relationships/hyperlink" Target="mailto:andreas.lill-broanda@hemkop.se" TargetMode="External"/><Relationship Id="rId96" Type="http://schemas.openxmlformats.org/officeDocument/2006/relationships/hyperlink" Target="mailto:tomas.lindborg@hemkop.se" TargetMode="External"/><Relationship Id="rId1" Type="http://schemas.openxmlformats.org/officeDocument/2006/relationships/hyperlink" Target="mailto:josefine.larsson@hemkop.se" TargetMode="External"/><Relationship Id="rId6" Type="http://schemas.openxmlformats.org/officeDocument/2006/relationships/hyperlink" Target="mailto:johan.edlund@butikskontakt.se" TargetMode="External"/><Relationship Id="rId15" Type="http://schemas.openxmlformats.org/officeDocument/2006/relationships/hyperlink" Target="mailto:david.jonegard@hemkop.se;andreas.lindgren@hemkop.se;johannes.lindgren@hemkop.se" TargetMode="External"/><Relationship Id="rId23" Type="http://schemas.openxmlformats.org/officeDocument/2006/relationships/hyperlink" Target="mailto:stephan@affarsbyggarna.se;anders@affarsbyggarna.se" TargetMode="External"/><Relationship Id="rId28" Type="http://schemas.openxmlformats.org/officeDocument/2006/relationships/hyperlink" Target="mailto:krister.blom@hemkop.se" TargetMode="External"/><Relationship Id="rId36" Type="http://schemas.openxmlformats.org/officeDocument/2006/relationships/hyperlink" Target="mailto:krasimir.radev@hemkop.se" TargetMode="External"/><Relationship Id="rId49" Type="http://schemas.openxmlformats.org/officeDocument/2006/relationships/hyperlink" Target="mailto:jessica.moline@hemkop.se" TargetMode="External"/><Relationship Id="rId57" Type="http://schemas.openxmlformats.org/officeDocument/2006/relationships/hyperlink" Target="mailto:emil.bergkvist@hemkop.se" TargetMode="External"/><Relationship Id="rId106" Type="http://schemas.openxmlformats.org/officeDocument/2006/relationships/hyperlink" Target="mailto:marie.jansson@hemkop.se" TargetMode="External"/><Relationship Id="rId114" Type="http://schemas.openxmlformats.org/officeDocument/2006/relationships/hyperlink" Target="mailto:josefine.larsson@hemkop.se" TargetMode="External"/><Relationship Id="rId10" Type="http://schemas.openxmlformats.org/officeDocument/2006/relationships/hyperlink" Target="mailto:lena-marie.persson@hemkop.se" TargetMode="External"/><Relationship Id="rId31" Type="http://schemas.openxmlformats.org/officeDocument/2006/relationships/hyperlink" Target="mailto:michael.hellberg@hemkop.se" TargetMode="External"/><Relationship Id="rId44" Type="http://schemas.openxmlformats.org/officeDocument/2006/relationships/hyperlink" Target="mailto:magnus.skjarlund@hemkop.se" TargetMode="External"/><Relationship Id="rId52" Type="http://schemas.openxmlformats.org/officeDocument/2006/relationships/hyperlink" Target="mailto:jakob.hofverberg@hemkop.se" TargetMode="External"/><Relationship Id="rId60" Type="http://schemas.openxmlformats.org/officeDocument/2006/relationships/hyperlink" Target="mailto:hans.roosmark@hemkop.se" TargetMode="External"/><Relationship Id="rId65" Type="http://schemas.openxmlformats.org/officeDocument/2006/relationships/hyperlink" Target="mailto:butikschef.hemkopstockholmbirgerjarlsgatan.4150@hemkop.se" TargetMode="External"/><Relationship Id="rId73" Type="http://schemas.openxmlformats.org/officeDocument/2006/relationships/hyperlink" Target="mailto:butikschef.hemkopstockholmgardet.4234@hemkop.se" TargetMode="External"/><Relationship Id="rId78" Type="http://schemas.openxmlformats.org/officeDocument/2006/relationships/hyperlink" Target="mailto:stephanie.bondesson.ferenac@hemkop.se" TargetMode="External"/><Relationship Id="rId81" Type="http://schemas.openxmlformats.org/officeDocument/2006/relationships/hyperlink" Target="mailto:mikael.ceder.brolin@hemkop.se" TargetMode="External"/><Relationship Id="rId86" Type="http://schemas.openxmlformats.org/officeDocument/2006/relationships/hyperlink" Target="mailto:lars-olov.jansson@hemkop.se" TargetMode="External"/><Relationship Id="rId94" Type="http://schemas.openxmlformats.org/officeDocument/2006/relationships/hyperlink" Target="mailto:christopher.grace@hemkop.se" TargetMode="External"/><Relationship Id="rId99" Type="http://schemas.openxmlformats.org/officeDocument/2006/relationships/hyperlink" Target="mailto:fredrik.olsson@hemkop.se" TargetMode="External"/><Relationship Id="rId101" Type="http://schemas.openxmlformats.org/officeDocument/2006/relationships/hyperlink" Target="mailto:besim.sejdiu@hemkop.se" TargetMode="External"/><Relationship Id="rId4" Type="http://schemas.openxmlformats.org/officeDocument/2006/relationships/hyperlink" Target="mailto:svante.kedner@hemkop.se" TargetMode="External"/><Relationship Id="rId9" Type="http://schemas.openxmlformats.org/officeDocument/2006/relationships/hyperlink" Target="mailto:juho.ikonen@polargrossen.se" TargetMode="External"/><Relationship Id="rId13" Type="http://schemas.openxmlformats.org/officeDocument/2006/relationships/hyperlink" Target="mailto:peter.bergvall@hemkop.se" TargetMode="External"/><Relationship Id="rId18" Type="http://schemas.openxmlformats.org/officeDocument/2006/relationships/hyperlink" Target="mailto:andreas.nygardh@hemkop.se" TargetMode="External"/><Relationship Id="rId39" Type="http://schemas.openxmlformats.org/officeDocument/2006/relationships/hyperlink" Target="mailto:karl-johan.samuelsson@hemkop.se;fredrik.samuelsson@hemkop.se" TargetMode="External"/><Relationship Id="rId109" Type="http://schemas.openxmlformats.org/officeDocument/2006/relationships/hyperlink" Target="mailto:fredrik.nojd@hemkop.se" TargetMode="External"/><Relationship Id="rId34" Type="http://schemas.openxmlformats.org/officeDocument/2006/relationships/hyperlink" Target="mailto:magnus.kock@hemkop.se" TargetMode="External"/><Relationship Id="rId50" Type="http://schemas.openxmlformats.org/officeDocument/2006/relationships/hyperlink" Target="mailto:fredrik.alexandersson@hemkop.se" TargetMode="External"/><Relationship Id="rId55" Type="http://schemas.openxmlformats.org/officeDocument/2006/relationships/hyperlink" Target="mailto:robert.tingaker@hemkop.se" TargetMode="External"/><Relationship Id="rId76" Type="http://schemas.openxmlformats.org/officeDocument/2006/relationships/hyperlink" Target="mailto:rickard.bernhardsson@hemkop.se;jesper.gustafson@hemkop.se" TargetMode="External"/><Relationship Id="rId97" Type="http://schemas.openxmlformats.org/officeDocument/2006/relationships/hyperlink" Target="mailto:amera.becirovic@hemkop.se" TargetMode="External"/><Relationship Id="rId104" Type="http://schemas.openxmlformats.org/officeDocument/2006/relationships/hyperlink" Target="mailto:linda.sallman.bjorklund@hemkop.se" TargetMode="External"/><Relationship Id="rId7" Type="http://schemas.openxmlformats.org/officeDocument/2006/relationships/hyperlink" Target="mailto:mikael.karlsson@butikskontakt.se" TargetMode="External"/><Relationship Id="rId71" Type="http://schemas.openxmlformats.org/officeDocument/2006/relationships/hyperlink" Target="mailto:joakim.metz@hemkop.se" TargetMode="External"/><Relationship Id="rId92" Type="http://schemas.openxmlformats.org/officeDocument/2006/relationships/hyperlink" Target="mailto:tony.olaussen@hemkop.se" TargetMode="External"/><Relationship Id="rId2" Type="http://schemas.openxmlformats.org/officeDocument/2006/relationships/hyperlink" Target="mailto:henrik.olsson1@hemkop.se" TargetMode="External"/><Relationship Id="rId29" Type="http://schemas.openxmlformats.org/officeDocument/2006/relationships/hyperlink" Target="mailto:raine.de.boer@hemkop.se" TargetMode="External"/><Relationship Id="rId24" Type="http://schemas.openxmlformats.org/officeDocument/2006/relationships/hyperlink" Target="mailto:annika.pantzar@hemkop.se" TargetMode="External"/><Relationship Id="rId40" Type="http://schemas.openxmlformats.org/officeDocument/2006/relationships/hyperlink" Target="mailto:jesper.haag@hemkop.se" TargetMode="External"/><Relationship Id="rId45" Type="http://schemas.openxmlformats.org/officeDocument/2006/relationships/hyperlink" Target="mailto:johan.eriksson@hemkop.se;eva.pettersson2@hemkop.se;mattias.johansson2@hemkop.se" TargetMode="External"/><Relationship Id="rId66" Type="http://schemas.openxmlformats.org/officeDocument/2006/relationships/hyperlink" Target="mailto:stephan@affarsbyggarna.se;anders@affarsbyggarna.se" TargetMode="External"/><Relationship Id="rId87" Type="http://schemas.openxmlformats.org/officeDocument/2006/relationships/hyperlink" Target="mailto:lars.nordevik@hemkop.se" TargetMode="External"/><Relationship Id="rId110" Type="http://schemas.openxmlformats.org/officeDocument/2006/relationships/hyperlink" Target="mailto:arvid.bramby@hemkop.se" TargetMode="External"/><Relationship Id="rId115" Type="http://schemas.openxmlformats.org/officeDocument/2006/relationships/hyperlink" Target="mailto:henrik.olsson1@hemkop.se" TargetMode="External"/><Relationship Id="rId61" Type="http://schemas.openxmlformats.org/officeDocument/2006/relationships/hyperlink" Target="mailto:jeanette.sjostrom@hemkop.se" TargetMode="External"/><Relationship Id="rId82" Type="http://schemas.openxmlformats.org/officeDocument/2006/relationships/hyperlink" Target="mailto:christoffer.thelin@hemkop.se;henrik.hedstrom@hemkop.se" TargetMode="External"/><Relationship Id="rId19" Type="http://schemas.openxmlformats.org/officeDocument/2006/relationships/hyperlink" Target="mailto:andreas.fredriksson@hemkop.se" TargetMode="External"/><Relationship Id="rId14" Type="http://schemas.openxmlformats.org/officeDocument/2006/relationships/hyperlink" Target="mailto:jakob.garpe@hemkop.se" TargetMode="External"/><Relationship Id="rId30" Type="http://schemas.openxmlformats.org/officeDocument/2006/relationships/hyperlink" Target="mailto:thomas.axell@hemkop.se" TargetMode="External"/><Relationship Id="rId35" Type="http://schemas.openxmlformats.org/officeDocument/2006/relationships/hyperlink" Target="mailto:terese.awen@hemkop.se" TargetMode="External"/><Relationship Id="rId56" Type="http://schemas.openxmlformats.org/officeDocument/2006/relationships/hyperlink" Target="mailto:jimmy.wolffberg@hemkop.se" TargetMode="External"/><Relationship Id="rId77" Type="http://schemas.openxmlformats.org/officeDocument/2006/relationships/hyperlink" Target="mailto:camilla.lindberg@hemkop.se" TargetMode="External"/><Relationship Id="rId100" Type="http://schemas.openxmlformats.org/officeDocument/2006/relationships/hyperlink" Target="mailto:magnus.thor@hemkop.se" TargetMode="External"/><Relationship Id="rId105" Type="http://schemas.openxmlformats.org/officeDocument/2006/relationships/hyperlink" Target="mailto:jerker.hagfoss@hemkop.se" TargetMode="External"/><Relationship Id="rId8" Type="http://schemas.openxmlformats.org/officeDocument/2006/relationships/hyperlink" Target="mailto:kari.lantto@polargrossen.se" TargetMode="External"/><Relationship Id="rId51" Type="http://schemas.openxmlformats.org/officeDocument/2006/relationships/hyperlink" Target="mailto:Douglas.liljekrantz@hemkop.se" TargetMode="External"/><Relationship Id="rId72" Type="http://schemas.openxmlformats.org/officeDocument/2006/relationships/hyperlink" Target="mailto:einar.tibbelin@hemkop.se" TargetMode="External"/><Relationship Id="rId93" Type="http://schemas.openxmlformats.org/officeDocument/2006/relationships/hyperlink" Target="tel:08-46007680" TargetMode="External"/><Relationship Id="rId98" Type="http://schemas.openxmlformats.org/officeDocument/2006/relationships/hyperlink" Target="mailto:erik.bergstrom@hemkop.se;magnus.lindberg@hemkop.se" TargetMode="External"/><Relationship Id="rId3" Type="http://schemas.openxmlformats.org/officeDocument/2006/relationships/hyperlink" Target="mailto:savyo.markus@butikskontakt.se" TargetMode="External"/><Relationship Id="rId25" Type="http://schemas.openxmlformats.org/officeDocument/2006/relationships/hyperlink" Target="mailto:sara.gustafsson@hemkop.se" TargetMode="External"/><Relationship Id="rId46" Type="http://schemas.openxmlformats.org/officeDocument/2006/relationships/hyperlink" Target="mailto:andreas.book@hemkop.se;micael.jacobsson@hemkop.se" TargetMode="External"/><Relationship Id="rId67" Type="http://schemas.openxmlformats.org/officeDocument/2006/relationships/hyperlink" Target="mailto:houston.stone@hemkop.se" TargetMode="External"/><Relationship Id="rId20" Type="http://schemas.openxmlformats.org/officeDocument/2006/relationships/hyperlink" Target="mailto:andreas.norlin@hemkop.se" TargetMode="External"/><Relationship Id="rId41" Type="http://schemas.openxmlformats.org/officeDocument/2006/relationships/hyperlink" Target="mailto:leif.johansson@hemkop.se" TargetMode="External"/><Relationship Id="rId62" Type="http://schemas.openxmlformats.org/officeDocument/2006/relationships/hyperlink" Target="mailto:alexander.roosmark@hemkop.se;johannes.roosmark@hemkop.se;adrian.roosmark@hemkop.se" TargetMode="External"/><Relationship Id="rId83" Type="http://schemas.openxmlformats.org/officeDocument/2006/relationships/hyperlink" Target="mailto:anders.wallenholm@hemkop.se" TargetMode="External"/><Relationship Id="rId88" Type="http://schemas.openxmlformats.org/officeDocument/2006/relationships/hyperlink" Target="mailto:mattias.karlsson@hemkop.se" TargetMode="External"/><Relationship Id="rId111" Type="http://schemas.openxmlformats.org/officeDocument/2006/relationships/hyperlink" Target="mailto:hanna.andersson@hemkop.s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mikael.pettersson@hemkop.se" TargetMode="External"/><Relationship Id="rId21" Type="http://schemas.openxmlformats.org/officeDocument/2006/relationships/hyperlink" Target="mailto:andreas.lindahl@hemkop.se" TargetMode="External"/><Relationship Id="rId42" Type="http://schemas.openxmlformats.org/officeDocument/2006/relationships/hyperlink" Target="mailto:daniel.quist@hemkop.se;andreas.quist@hemkop.se" TargetMode="External"/><Relationship Id="rId47" Type="http://schemas.openxmlformats.org/officeDocument/2006/relationships/hyperlink" Target="mailto:bjorn.fullmestad@hemkop.se;fredrik.fullmestad@hemkop.se" TargetMode="External"/><Relationship Id="rId63" Type="http://schemas.openxmlformats.org/officeDocument/2006/relationships/hyperlink" Target="mailto:lars.nordevik@hemkop.se" TargetMode="External"/><Relationship Id="rId68" Type="http://schemas.openxmlformats.org/officeDocument/2006/relationships/hyperlink" Target="mailto:fredrik.camitz@hemkop.se" TargetMode="External"/><Relationship Id="rId84" Type="http://schemas.openxmlformats.org/officeDocument/2006/relationships/hyperlink" Target="mailto:veronica.wahlqvist@hemkop.se" TargetMode="External"/><Relationship Id="rId89" Type="http://schemas.openxmlformats.org/officeDocument/2006/relationships/hyperlink" Target="mailto:martin.lundstrom@hemkop.se" TargetMode="External"/><Relationship Id="rId112" Type="http://schemas.openxmlformats.org/officeDocument/2006/relationships/hyperlink" Target="mailto:josefine.larsson@hemkop.se" TargetMode="External"/><Relationship Id="rId16" Type="http://schemas.openxmlformats.org/officeDocument/2006/relationships/hyperlink" Target="mailto:calle.lindqvist@hemkop.se" TargetMode="External"/><Relationship Id="rId107" Type="http://schemas.openxmlformats.org/officeDocument/2006/relationships/hyperlink" Target="mailto:fredrik.nojd@hemkop.se" TargetMode="External"/><Relationship Id="rId11" Type="http://schemas.openxmlformats.org/officeDocument/2006/relationships/hyperlink" Target="mailto:kristoffer.pettersson@hemkop.se" TargetMode="External"/><Relationship Id="rId32" Type="http://schemas.openxmlformats.org/officeDocument/2006/relationships/hyperlink" Target="mailto:camilla.sundheden@hemkop.se" TargetMode="External"/><Relationship Id="rId37" Type="http://schemas.openxmlformats.org/officeDocument/2006/relationships/hyperlink" Target="mailto:daniel.moberg@hemkop.se" TargetMode="External"/><Relationship Id="rId53" Type="http://schemas.openxmlformats.org/officeDocument/2006/relationships/hyperlink" Target="mailto:butikschef.hemkopnackaforum.4201@hemkop.se" TargetMode="External"/><Relationship Id="rId58" Type="http://schemas.openxmlformats.org/officeDocument/2006/relationships/hyperlink" Target="mailto:mikael.melkersson@hemkop.se" TargetMode="External"/><Relationship Id="rId74" Type="http://schemas.openxmlformats.org/officeDocument/2006/relationships/hyperlink" Target="mailto:petter.mahler@hemkop.se" TargetMode="External"/><Relationship Id="rId79" Type="http://schemas.openxmlformats.org/officeDocument/2006/relationships/hyperlink" Target="mailto:butikschef.hemkopstockholmtorsplan.4190@hemkop.se" TargetMode="External"/><Relationship Id="rId102" Type="http://schemas.openxmlformats.org/officeDocument/2006/relationships/hyperlink" Target="mailto:linda.sallman.bjorklund@hemkop.se" TargetMode="External"/><Relationship Id="rId5" Type="http://schemas.openxmlformats.org/officeDocument/2006/relationships/hyperlink" Target="mailto:bengt.hansson@butikskontakt.se" TargetMode="External"/><Relationship Id="rId90" Type="http://schemas.openxmlformats.org/officeDocument/2006/relationships/hyperlink" Target="mailto:andreas.lill-broanda@hemkop.se" TargetMode="External"/><Relationship Id="rId95" Type="http://schemas.openxmlformats.org/officeDocument/2006/relationships/hyperlink" Target="mailto:amera.becirovic@hemkop.se" TargetMode="External"/><Relationship Id="rId22" Type="http://schemas.openxmlformats.org/officeDocument/2006/relationships/hyperlink" Target="mailto:stephan@affarsbyggarna.se;anders@affarsbyggarna.se" TargetMode="External"/><Relationship Id="rId27" Type="http://schemas.openxmlformats.org/officeDocument/2006/relationships/hyperlink" Target="mailto:krister.blom@hemkop.se" TargetMode="External"/><Relationship Id="rId43" Type="http://schemas.openxmlformats.org/officeDocument/2006/relationships/hyperlink" Target="mailto:magnus.skjarlund@hemkop.se" TargetMode="External"/><Relationship Id="rId48" Type="http://schemas.openxmlformats.org/officeDocument/2006/relationships/hyperlink" Target="mailto:jessica.moline@hemkop.se" TargetMode="External"/><Relationship Id="rId64" Type="http://schemas.openxmlformats.org/officeDocument/2006/relationships/hyperlink" Target="mailto:butikschef.hemkopstockholmbirgerjarlsgatan.4150@hemkop.se" TargetMode="External"/><Relationship Id="rId69" Type="http://schemas.openxmlformats.org/officeDocument/2006/relationships/hyperlink" Target="mailto:alexander.roosmark@hemkop.se" TargetMode="External"/><Relationship Id="rId113" Type="http://schemas.openxmlformats.org/officeDocument/2006/relationships/hyperlink" Target="mailto:henrik.olsson1@hemkop.se" TargetMode="External"/><Relationship Id="rId80" Type="http://schemas.openxmlformats.org/officeDocument/2006/relationships/hyperlink" Target="mailto:mikael.ceder.brolin@hemkop.se" TargetMode="External"/><Relationship Id="rId85" Type="http://schemas.openxmlformats.org/officeDocument/2006/relationships/hyperlink" Target="mailto:lars-olov.jansson@hemkop.se" TargetMode="External"/><Relationship Id="rId12" Type="http://schemas.openxmlformats.org/officeDocument/2006/relationships/hyperlink" Target="mailto:peter.bergvall@hemkop.se" TargetMode="External"/><Relationship Id="rId17" Type="http://schemas.openxmlformats.org/officeDocument/2006/relationships/hyperlink" Target="mailto:andreas.nygardh@hemkop.se" TargetMode="External"/><Relationship Id="rId33" Type="http://schemas.openxmlformats.org/officeDocument/2006/relationships/hyperlink" Target="mailto:magnus.kock@hemkop.se" TargetMode="External"/><Relationship Id="rId38" Type="http://schemas.openxmlformats.org/officeDocument/2006/relationships/hyperlink" Target="mailto:karl-johan.samuelsson@hemkop.se;fredrik.samuelsson@hemkop.se" TargetMode="External"/><Relationship Id="rId59" Type="http://schemas.openxmlformats.org/officeDocument/2006/relationships/hyperlink" Target="mailto:hans.roosmark@hemkop.se" TargetMode="External"/><Relationship Id="rId103" Type="http://schemas.openxmlformats.org/officeDocument/2006/relationships/hyperlink" Target="mailto:jerker.hagfoss@hemkop.se" TargetMode="External"/><Relationship Id="rId108" Type="http://schemas.openxmlformats.org/officeDocument/2006/relationships/hyperlink" Target="mailto:arvid.bramby@hemkop.se" TargetMode="External"/><Relationship Id="rId54" Type="http://schemas.openxmlformats.org/officeDocument/2006/relationships/hyperlink" Target="mailto:robert.tingaker@hemkop.se" TargetMode="External"/><Relationship Id="rId70" Type="http://schemas.openxmlformats.org/officeDocument/2006/relationships/hyperlink" Target="mailto:joakim.metz@hemkop.se" TargetMode="External"/><Relationship Id="rId75" Type="http://schemas.openxmlformats.org/officeDocument/2006/relationships/hyperlink" Target="mailto:rickard.bernhardsson@hemkop.se;jesper.gustafson@hemkop.se" TargetMode="External"/><Relationship Id="rId91" Type="http://schemas.openxmlformats.org/officeDocument/2006/relationships/hyperlink" Target="mailto:tony.olaussen@hemkop.se" TargetMode="External"/><Relationship Id="rId96" Type="http://schemas.openxmlformats.org/officeDocument/2006/relationships/hyperlink" Target="mailto:erik.bergstrom@hemkop.se;magnus.lindberg@hemkop.se" TargetMode="External"/><Relationship Id="rId1" Type="http://schemas.openxmlformats.org/officeDocument/2006/relationships/hyperlink" Target="mailto:josefine.larsson@hemkop.se" TargetMode="External"/><Relationship Id="rId6" Type="http://schemas.openxmlformats.org/officeDocument/2006/relationships/hyperlink" Target="mailto:johan.edlund@butikskontakt.se" TargetMode="External"/><Relationship Id="rId15" Type="http://schemas.openxmlformats.org/officeDocument/2006/relationships/hyperlink" Target="mailto:lars.wiss@hemkop.se" TargetMode="External"/><Relationship Id="rId23" Type="http://schemas.openxmlformats.org/officeDocument/2006/relationships/hyperlink" Target="mailto:annika.pantzar@hemkop.se" TargetMode="External"/><Relationship Id="rId28" Type="http://schemas.openxmlformats.org/officeDocument/2006/relationships/hyperlink" Target="mailto:raine.de.boer@hemkop.se" TargetMode="External"/><Relationship Id="rId36" Type="http://schemas.openxmlformats.org/officeDocument/2006/relationships/hyperlink" Target="mailto:henrik.liljedahl@hemkop.se" TargetMode="External"/><Relationship Id="rId49" Type="http://schemas.openxmlformats.org/officeDocument/2006/relationships/hyperlink" Target="mailto:fredrik.alexandersson@hemkop.se" TargetMode="External"/><Relationship Id="rId57" Type="http://schemas.openxmlformats.org/officeDocument/2006/relationships/hyperlink" Target="mailto:cecilia.hedman.stenqvist@hemkop.se" TargetMode="External"/><Relationship Id="rId106" Type="http://schemas.openxmlformats.org/officeDocument/2006/relationships/hyperlink" Target="mailto:amanda.nilsson@hemkop.se" TargetMode="External"/><Relationship Id="rId10" Type="http://schemas.openxmlformats.org/officeDocument/2006/relationships/hyperlink" Target="mailto:krister.nordgren@hemkop.se" TargetMode="External"/><Relationship Id="rId31" Type="http://schemas.openxmlformats.org/officeDocument/2006/relationships/hyperlink" Target="mailto:jorgen.westman@hemkop.se" TargetMode="External"/><Relationship Id="rId44" Type="http://schemas.openxmlformats.org/officeDocument/2006/relationships/hyperlink" Target="mailto:johan.eriksson@hemkop.se;eva.pettersson2@hemkop.se;mattias.johansson2@hemkop.se" TargetMode="External"/><Relationship Id="rId52" Type="http://schemas.openxmlformats.org/officeDocument/2006/relationships/hyperlink" Target="mailto:butikschef.hemkopmolndalc.4231@hemkop.se" TargetMode="External"/><Relationship Id="rId60" Type="http://schemas.openxmlformats.org/officeDocument/2006/relationships/hyperlink" Target="mailto:jeanette.sjostrom@hemkop.se" TargetMode="External"/><Relationship Id="rId65" Type="http://schemas.openxmlformats.org/officeDocument/2006/relationships/hyperlink" Target="mailto:stephan@affarsbyggarna.se;anders@affarsbyggarna.se" TargetMode="External"/><Relationship Id="rId73" Type="http://schemas.openxmlformats.org/officeDocument/2006/relationships/hyperlink" Target="mailto:tomas.lindborg@hemkop.se" TargetMode="External"/><Relationship Id="rId78" Type="http://schemas.openxmlformats.org/officeDocument/2006/relationships/hyperlink" Target="mailto:tiina.koivisto@hemkop.se" TargetMode="External"/><Relationship Id="rId81" Type="http://schemas.openxmlformats.org/officeDocument/2006/relationships/hyperlink" Target="mailto:christoffer.thelin@hemkop.se;henrik.hedstrom@hemkop.se" TargetMode="External"/><Relationship Id="rId86" Type="http://schemas.openxmlformats.org/officeDocument/2006/relationships/hyperlink" Target="mailto:lars.nordevik@hemkop.se" TargetMode="External"/><Relationship Id="rId94" Type="http://schemas.openxmlformats.org/officeDocument/2006/relationships/hyperlink" Target="mailto:tomas.lindborg@hemkop.se" TargetMode="External"/><Relationship Id="rId99" Type="http://schemas.openxmlformats.org/officeDocument/2006/relationships/hyperlink" Target="mailto:besim.sejdiu@hemkop.se" TargetMode="External"/><Relationship Id="rId101" Type="http://schemas.openxmlformats.org/officeDocument/2006/relationships/hyperlink" Target="mailto:butikschef.hemkopvastervikc.4191@hemkop.se" TargetMode="External"/><Relationship Id="rId4" Type="http://schemas.openxmlformats.org/officeDocument/2006/relationships/hyperlink" Target="mailto:svante.kedner@hemkop.se" TargetMode="External"/><Relationship Id="rId9" Type="http://schemas.openxmlformats.org/officeDocument/2006/relationships/hyperlink" Target="mailto:lena-marie.persson@hemkop.se" TargetMode="External"/><Relationship Id="rId13" Type="http://schemas.openxmlformats.org/officeDocument/2006/relationships/hyperlink" Target="mailto:jakob.garpe@hemkop.se" TargetMode="External"/><Relationship Id="rId18" Type="http://schemas.openxmlformats.org/officeDocument/2006/relationships/hyperlink" Target="mailto:andreas.fredriksson@hemkop.se" TargetMode="External"/><Relationship Id="rId39" Type="http://schemas.openxmlformats.org/officeDocument/2006/relationships/hyperlink" Target="mailto:jesper.haag@hemkop.se" TargetMode="External"/><Relationship Id="rId109" Type="http://schemas.openxmlformats.org/officeDocument/2006/relationships/hyperlink" Target="mailto:hanna.andersson@hemkop.se" TargetMode="External"/><Relationship Id="rId34" Type="http://schemas.openxmlformats.org/officeDocument/2006/relationships/hyperlink" Target="mailto:terese.awen@hemkop.se" TargetMode="External"/><Relationship Id="rId50" Type="http://schemas.openxmlformats.org/officeDocument/2006/relationships/hyperlink" Target="mailto:Douglas.liljekrantz@hemkop.se" TargetMode="External"/><Relationship Id="rId55" Type="http://schemas.openxmlformats.org/officeDocument/2006/relationships/hyperlink" Target="mailto:jimmy.wolffberg@hemkop.se" TargetMode="External"/><Relationship Id="rId76" Type="http://schemas.openxmlformats.org/officeDocument/2006/relationships/hyperlink" Target="mailto:camilla.lindberg@hemkop.se" TargetMode="External"/><Relationship Id="rId97" Type="http://schemas.openxmlformats.org/officeDocument/2006/relationships/hyperlink" Target="mailto:fredrik.olsson@hemkop.se" TargetMode="External"/><Relationship Id="rId104" Type="http://schemas.openxmlformats.org/officeDocument/2006/relationships/hyperlink" Target="mailto:marie.jansson@hemkop.se" TargetMode="External"/><Relationship Id="rId7" Type="http://schemas.openxmlformats.org/officeDocument/2006/relationships/hyperlink" Target="mailto:mikael.karlsson@butikskontakt.se" TargetMode="External"/><Relationship Id="rId71" Type="http://schemas.openxmlformats.org/officeDocument/2006/relationships/hyperlink" Target="mailto:einar.tibbelin@hemkop.se" TargetMode="External"/><Relationship Id="rId92" Type="http://schemas.openxmlformats.org/officeDocument/2006/relationships/hyperlink" Target="mailto:christopher.grace@hemkop.se" TargetMode="External"/><Relationship Id="rId2" Type="http://schemas.openxmlformats.org/officeDocument/2006/relationships/hyperlink" Target="mailto:henrik.olsson1@hemkop.se" TargetMode="External"/><Relationship Id="rId29" Type="http://schemas.openxmlformats.org/officeDocument/2006/relationships/hyperlink" Target="mailto:thomas.axell@hemkop.se" TargetMode="External"/><Relationship Id="rId24" Type="http://schemas.openxmlformats.org/officeDocument/2006/relationships/hyperlink" Target="mailto:sara.gustafsson@hemkop.se" TargetMode="External"/><Relationship Id="rId40" Type="http://schemas.openxmlformats.org/officeDocument/2006/relationships/hyperlink" Target="mailto:leif.johansson@hemkop.se" TargetMode="External"/><Relationship Id="rId45" Type="http://schemas.openxmlformats.org/officeDocument/2006/relationships/hyperlink" Target="mailto:andreas.book@hemkop.se;micael.jacobsson@hemkop.se" TargetMode="External"/><Relationship Id="rId66" Type="http://schemas.openxmlformats.org/officeDocument/2006/relationships/hyperlink" Target="mailto:houston.stone@hemkop.se" TargetMode="External"/><Relationship Id="rId87" Type="http://schemas.openxmlformats.org/officeDocument/2006/relationships/hyperlink" Target="mailto:mattias.karlsson@hemkop.se" TargetMode="External"/><Relationship Id="rId110" Type="http://schemas.openxmlformats.org/officeDocument/2006/relationships/hyperlink" Target="mailto:thomas.karludde@hemkop.se" TargetMode="External"/><Relationship Id="rId61" Type="http://schemas.openxmlformats.org/officeDocument/2006/relationships/hyperlink" Target="mailto:alexander.roosmark@hemkop.se;johannes.roosmark@hemkop.se;adrian.roosmark@hemkop.se" TargetMode="External"/><Relationship Id="rId82" Type="http://schemas.openxmlformats.org/officeDocument/2006/relationships/hyperlink" Target="mailto:anders.wallenholm@hemkop.se" TargetMode="External"/><Relationship Id="rId19" Type="http://schemas.openxmlformats.org/officeDocument/2006/relationships/hyperlink" Target="mailto:andreas.norlin@hemkop.se" TargetMode="External"/><Relationship Id="rId14" Type="http://schemas.openxmlformats.org/officeDocument/2006/relationships/hyperlink" Target="mailto:david.jonegard@hemkop.se;andreas.lindgren@hemkop.se;johannes.lindgren@hemkop.se" TargetMode="External"/><Relationship Id="rId30" Type="http://schemas.openxmlformats.org/officeDocument/2006/relationships/hyperlink" Target="mailto:michael.hellberg@hemkop.se" TargetMode="External"/><Relationship Id="rId35" Type="http://schemas.openxmlformats.org/officeDocument/2006/relationships/hyperlink" Target="mailto:krasimir.radev@hemkop.se" TargetMode="External"/><Relationship Id="rId56" Type="http://schemas.openxmlformats.org/officeDocument/2006/relationships/hyperlink" Target="mailto:emil.bergkvist@hemkop.se" TargetMode="External"/><Relationship Id="rId77" Type="http://schemas.openxmlformats.org/officeDocument/2006/relationships/hyperlink" Target="mailto:stephanie.bondesson.ferenac@hemkop.se" TargetMode="External"/><Relationship Id="rId100" Type="http://schemas.openxmlformats.org/officeDocument/2006/relationships/hyperlink" Target="mailto:jimmy.fagelqvist@hemkop.se" TargetMode="External"/><Relationship Id="rId105" Type="http://schemas.openxmlformats.org/officeDocument/2006/relationships/hyperlink" Target="mailto:maria.agren@hemkop.se" TargetMode="External"/><Relationship Id="rId8" Type="http://schemas.openxmlformats.org/officeDocument/2006/relationships/hyperlink" Target="mailto:kari.lantto@polargrossen.se" TargetMode="External"/><Relationship Id="rId51" Type="http://schemas.openxmlformats.org/officeDocument/2006/relationships/hyperlink" Target="mailto:jakob.hofverberg@hemkop.se" TargetMode="External"/><Relationship Id="rId72" Type="http://schemas.openxmlformats.org/officeDocument/2006/relationships/hyperlink" Target="mailto:butikschef.hemkopstockholmgardet.4234@hemkop.se" TargetMode="External"/><Relationship Id="rId93" Type="http://schemas.openxmlformats.org/officeDocument/2006/relationships/hyperlink" Target="mailto:daniel.jeppsson@hemkop.se" TargetMode="External"/><Relationship Id="rId98" Type="http://schemas.openxmlformats.org/officeDocument/2006/relationships/hyperlink" Target="mailto:magnus.thor@hemkop.se" TargetMode="External"/><Relationship Id="rId3" Type="http://schemas.openxmlformats.org/officeDocument/2006/relationships/hyperlink" Target="mailto:savyo.markus@butikskontakt.se" TargetMode="External"/><Relationship Id="rId25" Type="http://schemas.openxmlformats.org/officeDocument/2006/relationships/hyperlink" Target="mailto:butikschef.hemkopgoteborglundbypark.4222@hemkop.se" TargetMode="External"/><Relationship Id="rId46" Type="http://schemas.openxmlformats.org/officeDocument/2006/relationships/hyperlink" Target="mailto:eva-lena.nilsson@hemkop.se" TargetMode="External"/><Relationship Id="rId67" Type="http://schemas.openxmlformats.org/officeDocument/2006/relationships/hyperlink" Target="mailto:butikschef.hemkopstockholmcity.4297@hemkop.se" TargetMode="External"/><Relationship Id="rId20" Type="http://schemas.openxmlformats.org/officeDocument/2006/relationships/hyperlink" Target="mailto:krister.lennartsson@hemkop.se" TargetMode="External"/><Relationship Id="rId41" Type="http://schemas.openxmlformats.org/officeDocument/2006/relationships/hyperlink" Target="mailto:daniel.quist@hemkop.se;andreas.quist@hemkop.se" TargetMode="External"/><Relationship Id="rId62" Type="http://schemas.openxmlformats.org/officeDocument/2006/relationships/hyperlink" Target="mailto:fabian.granath@hemkop.se" TargetMode="External"/><Relationship Id="rId83" Type="http://schemas.openxmlformats.org/officeDocument/2006/relationships/hyperlink" Target="mailto:erik.pihl@hemkop.se" TargetMode="External"/><Relationship Id="rId88" Type="http://schemas.openxmlformats.org/officeDocument/2006/relationships/hyperlink" Target="mailto:erik.bergstrom@hemkop.se;magnus.lindberg@hemkop.se" TargetMode="External"/><Relationship Id="rId111" Type="http://schemas.openxmlformats.org/officeDocument/2006/relationships/hyperlink" Target="mailto:sofie.ni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A1D0-58B6-074C-93D0-755BAC63FCFE}">
  <dimension ref="A1:S251"/>
  <sheetViews>
    <sheetView zoomScale="246" workbookViewId="0">
      <selection activeCell="I1" sqref="G1:I1048576"/>
    </sheetView>
  </sheetViews>
  <sheetFormatPr baseColWidth="10" defaultRowHeight="16"/>
  <cols>
    <col min="1" max="1" width="44.5" style="21" bestFit="1" customWidth="1"/>
    <col min="2" max="2" width="6" style="23" bestFit="1" customWidth="1"/>
    <col min="3" max="3" width="22.83203125" style="21" customWidth="1"/>
    <col min="4" max="4" width="20.5" style="21" bestFit="1" customWidth="1"/>
    <col min="5" max="5" width="17" style="21" bestFit="1" customWidth="1"/>
    <col min="6" max="6" width="22.6640625" style="21" bestFit="1" customWidth="1"/>
    <col min="7" max="7" width="40.5" style="21" bestFit="1" customWidth="1"/>
    <col min="8" max="8" width="49.33203125" style="21" bestFit="1" customWidth="1"/>
    <col min="9" max="9" width="65.6640625" style="21" bestFit="1" customWidth="1"/>
    <col min="10" max="10" width="26.5" style="21" bestFit="1" customWidth="1"/>
    <col min="11" max="11" width="21.33203125" style="21" bestFit="1" customWidth="1"/>
    <col min="12" max="12" width="19.33203125" style="21" bestFit="1" customWidth="1"/>
    <col min="13" max="13" width="20.6640625" style="21" bestFit="1" customWidth="1"/>
    <col min="14" max="14" width="17" style="21" bestFit="1" customWidth="1"/>
    <col min="15" max="15" width="10.33203125" style="21" bestFit="1" customWidth="1"/>
    <col min="16" max="16" width="31.5" style="21" bestFit="1" customWidth="1"/>
    <col min="17" max="17" width="20.6640625" style="21" bestFit="1" customWidth="1"/>
    <col min="18" max="18" width="16.1640625" style="21" bestFit="1" customWidth="1"/>
    <col min="19" max="19" width="25.33203125" style="23" bestFit="1" customWidth="1"/>
  </cols>
  <sheetData>
    <row r="1" spans="1:19" ht="1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4" t="s">
        <v>19</v>
      </c>
      <c r="B2" s="5">
        <v>4761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23</v>
      </c>
      <c r="I2" s="6" t="s">
        <v>25</v>
      </c>
      <c r="J2" s="6" t="s">
        <v>26</v>
      </c>
      <c r="K2" s="6"/>
      <c r="L2" s="6" t="s">
        <v>27</v>
      </c>
      <c r="M2" s="6" t="s">
        <v>27</v>
      </c>
      <c r="N2" s="6" t="s">
        <v>28</v>
      </c>
      <c r="O2" s="6" t="s">
        <v>29</v>
      </c>
      <c r="P2" s="6" t="s">
        <v>30</v>
      </c>
      <c r="Q2" s="6"/>
      <c r="R2" s="6" t="s">
        <v>31</v>
      </c>
      <c r="S2" s="7" t="s">
        <v>32</v>
      </c>
    </row>
    <row r="3" spans="1:19">
      <c r="A3" s="4" t="s">
        <v>33</v>
      </c>
      <c r="B3" s="5">
        <v>4597</v>
      </c>
      <c r="C3" s="6" t="s">
        <v>20</v>
      </c>
      <c r="D3" s="6" t="s">
        <v>34</v>
      </c>
      <c r="E3" s="6" t="s">
        <v>35</v>
      </c>
      <c r="F3" s="6" t="s">
        <v>36</v>
      </c>
      <c r="G3" s="6" t="s">
        <v>37</v>
      </c>
      <c r="H3" s="6" t="s">
        <v>38</v>
      </c>
      <c r="I3" s="6" t="s">
        <v>39</v>
      </c>
      <c r="J3" s="6"/>
      <c r="K3" s="6"/>
      <c r="L3" s="6" t="s">
        <v>34</v>
      </c>
      <c r="M3" s="6" t="s">
        <v>34</v>
      </c>
      <c r="N3" s="6" t="s">
        <v>35</v>
      </c>
      <c r="O3" s="6" t="s">
        <v>40</v>
      </c>
      <c r="P3" s="6" t="s">
        <v>41</v>
      </c>
      <c r="Q3" s="6"/>
      <c r="R3" s="6" t="s">
        <v>31</v>
      </c>
      <c r="S3" s="7" t="s">
        <v>32</v>
      </c>
    </row>
    <row r="4" spans="1:19">
      <c r="A4" s="4" t="s">
        <v>42</v>
      </c>
      <c r="B4" s="5">
        <v>4759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  <c r="J4" s="6"/>
      <c r="K4" s="6"/>
      <c r="L4" s="6" t="s">
        <v>44</v>
      </c>
      <c r="M4" s="6" t="s">
        <v>44</v>
      </c>
      <c r="N4" s="6" t="s">
        <v>45</v>
      </c>
      <c r="O4" s="6" t="s">
        <v>50</v>
      </c>
      <c r="P4" s="6" t="s">
        <v>51</v>
      </c>
      <c r="Q4" s="6"/>
      <c r="R4" s="6" t="s">
        <v>31</v>
      </c>
      <c r="S4" s="7" t="s">
        <v>32</v>
      </c>
    </row>
    <row r="5" spans="1:19">
      <c r="A5" s="4" t="s">
        <v>52</v>
      </c>
      <c r="B5" s="5">
        <v>4764</v>
      </c>
      <c r="C5" s="6" t="s">
        <v>53</v>
      </c>
      <c r="D5" s="6" t="s">
        <v>54</v>
      </c>
      <c r="E5" s="6" t="s">
        <v>55</v>
      </c>
      <c r="F5" s="6" t="s">
        <v>56</v>
      </c>
      <c r="G5" s="6" t="s">
        <v>57</v>
      </c>
      <c r="H5" s="6" t="s">
        <v>56</v>
      </c>
      <c r="I5" s="6" t="s">
        <v>58</v>
      </c>
      <c r="J5" s="6"/>
      <c r="K5" s="6"/>
      <c r="L5" s="6" t="s">
        <v>54</v>
      </c>
      <c r="M5" s="6" t="s">
        <v>54</v>
      </c>
      <c r="N5" s="6" t="s">
        <v>55</v>
      </c>
      <c r="O5" s="6" t="s">
        <v>59</v>
      </c>
      <c r="P5" s="6" t="s">
        <v>60</v>
      </c>
      <c r="Q5" s="6"/>
      <c r="R5" s="6" t="s">
        <v>31</v>
      </c>
      <c r="S5" s="7" t="s">
        <v>32</v>
      </c>
    </row>
    <row r="6" spans="1:19">
      <c r="A6" s="4" t="s">
        <v>61</v>
      </c>
      <c r="B6" s="5">
        <v>4936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  <c r="H6" s="6" t="s">
        <v>67</v>
      </c>
      <c r="I6" s="6" t="s">
        <v>68</v>
      </c>
      <c r="J6" s="6"/>
      <c r="K6" s="6"/>
      <c r="L6" s="6" t="s">
        <v>63</v>
      </c>
      <c r="M6" s="6" t="s">
        <v>63</v>
      </c>
      <c r="N6" s="6" t="s">
        <v>64</v>
      </c>
      <c r="O6" s="6" t="s">
        <v>69</v>
      </c>
      <c r="P6" s="6" t="s">
        <v>70</v>
      </c>
      <c r="Q6" s="6"/>
      <c r="R6" s="6" t="s">
        <v>31</v>
      </c>
      <c r="S6" s="7" t="s">
        <v>32</v>
      </c>
    </row>
    <row r="7" spans="1:19">
      <c r="A7" s="4" t="s">
        <v>71</v>
      </c>
      <c r="B7" s="5">
        <v>4749</v>
      </c>
      <c r="C7" s="6" t="s">
        <v>53</v>
      </c>
      <c r="D7" s="6" t="s">
        <v>72</v>
      </c>
      <c r="E7" s="6" t="s">
        <v>73</v>
      </c>
      <c r="F7" s="6" t="s">
        <v>74</v>
      </c>
      <c r="G7" s="6" t="s">
        <v>75</v>
      </c>
      <c r="H7" s="6" t="s">
        <v>76</v>
      </c>
      <c r="I7" s="6" t="s">
        <v>77</v>
      </c>
      <c r="J7" s="6" t="s">
        <v>78</v>
      </c>
      <c r="K7" s="6" t="s">
        <v>79</v>
      </c>
      <c r="L7" s="6" t="s">
        <v>72</v>
      </c>
      <c r="M7" s="6" t="s">
        <v>72</v>
      </c>
      <c r="N7" s="6" t="s">
        <v>73</v>
      </c>
      <c r="O7" s="6" t="s">
        <v>80</v>
      </c>
      <c r="P7" s="6" t="s">
        <v>81</v>
      </c>
      <c r="Q7" s="6"/>
      <c r="R7" s="6" t="s">
        <v>31</v>
      </c>
      <c r="S7" s="7" t="s">
        <v>32</v>
      </c>
    </row>
    <row r="8" spans="1:19">
      <c r="A8" s="4" t="s">
        <v>82</v>
      </c>
      <c r="B8" s="5">
        <v>4602</v>
      </c>
      <c r="C8" s="6" t="s">
        <v>20</v>
      </c>
      <c r="D8" s="6" t="s">
        <v>83</v>
      </c>
      <c r="E8" s="6" t="s">
        <v>84</v>
      </c>
      <c r="F8" s="6" t="s">
        <v>85</v>
      </c>
      <c r="G8" s="6" t="s">
        <v>86</v>
      </c>
      <c r="H8" s="6" t="s">
        <v>87</v>
      </c>
      <c r="I8" s="6" t="s">
        <v>88</v>
      </c>
      <c r="J8" s="6"/>
      <c r="K8" s="6"/>
      <c r="L8" s="6" t="s">
        <v>83</v>
      </c>
      <c r="M8" s="6" t="s">
        <v>83</v>
      </c>
      <c r="N8" s="6" t="s">
        <v>84</v>
      </c>
      <c r="O8" s="6" t="s">
        <v>89</v>
      </c>
      <c r="P8" s="6" t="s">
        <v>90</v>
      </c>
      <c r="Q8" s="6"/>
      <c r="R8" s="6" t="s">
        <v>31</v>
      </c>
      <c r="S8" s="7" t="s">
        <v>32</v>
      </c>
    </row>
    <row r="9" spans="1:19">
      <c r="A9" s="4" t="s">
        <v>91</v>
      </c>
      <c r="B9" s="5">
        <v>4653</v>
      </c>
      <c r="C9" s="6" t="s">
        <v>43</v>
      </c>
      <c r="D9" s="6" t="s">
        <v>92</v>
      </c>
      <c r="E9" s="6" t="s">
        <v>93</v>
      </c>
      <c r="F9" s="6" t="s">
        <v>94</v>
      </c>
      <c r="G9" s="6" t="s">
        <v>95</v>
      </c>
      <c r="H9" s="6" t="s">
        <v>96</v>
      </c>
      <c r="I9" s="6" t="s">
        <v>97</v>
      </c>
      <c r="J9" s="6" t="s">
        <v>98</v>
      </c>
      <c r="K9" s="6" t="s">
        <v>99</v>
      </c>
      <c r="L9" s="6" t="s">
        <v>92</v>
      </c>
      <c r="M9" s="6" t="s">
        <v>92</v>
      </c>
      <c r="N9" s="6" t="s">
        <v>93</v>
      </c>
      <c r="O9" s="6" t="s">
        <v>100</v>
      </c>
      <c r="P9" s="6" t="s">
        <v>101</v>
      </c>
      <c r="Q9" s="6"/>
      <c r="R9" s="6" t="s">
        <v>31</v>
      </c>
      <c r="S9" s="7" t="s">
        <v>32</v>
      </c>
    </row>
    <row r="10" spans="1:19">
      <c r="A10" s="4" t="s">
        <v>102</v>
      </c>
      <c r="B10" s="5">
        <v>4769</v>
      </c>
      <c r="C10" s="6" t="s">
        <v>103</v>
      </c>
      <c r="D10" s="6" t="s">
        <v>104</v>
      </c>
      <c r="E10" s="6" t="s">
        <v>105</v>
      </c>
      <c r="F10" s="6" t="s">
        <v>106</v>
      </c>
      <c r="G10" s="6" t="s">
        <v>107</v>
      </c>
      <c r="H10" s="6" t="s">
        <v>108</v>
      </c>
      <c r="I10" s="6" t="s">
        <v>109</v>
      </c>
      <c r="J10" s="6"/>
      <c r="K10" s="6"/>
      <c r="L10" s="6" t="s">
        <v>104</v>
      </c>
      <c r="M10" s="6" t="s">
        <v>104</v>
      </c>
      <c r="N10" s="6" t="s">
        <v>105</v>
      </c>
      <c r="O10" s="6" t="s">
        <v>110</v>
      </c>
      <c r="P10" s="6" t="s">
        <v>111</v>
      </c>
      <c r="Q10" s="6"/>
      <c r="R10" s="6" t="s">
        <v>31</v>
      </c>
      <c r="S10" s="7" t="s">
        <v>32</v>
      </c>
    </row>
    <row r="11" spans="1:19">
      <c r="A11" s="4" t="s">
        <v>112</v>
      </c>
      <c r="B11" s="5">
        <v>4619</v>
      </c>
      <c r="C11" s="6" t="s">
        <v>53</v>
      </c>
      <c r="D11" s="6" t="s">
        <v>113</v>
      </c>
      <c r="E11" s="6" t="s">
        <v>114</v>
      </c>
      <c r="F11" s="6" t="s">
        <v>115</v>
      </c>
      <c r="G11" s="6" t="s">
        <v>116</v>
      </c>
      <c r="H11" s="6" t="s">
        <v>117</v>
      </c>
      <c r="I11" s="6" t="s">
        <v>118</v>
      </c>
      <c r="J11" s="6"/>
      <c r="K11" s="6"/>
      <c r="L11" s="6" t="s">
        <v>113</v>
      </c>
      <c r="M11" s="6" t="s">
        <v>113</v>
      </c>
      <c r="N11" s="6" t="s">
        <v>114</v>
      </c>
      <c r="O11" s="6" t="s">
        <v>119</v>
      </c>
      <c r="P11" s="6" t="s">
        <v>120</v>
      </c>
      <c r="Q11" s="6"/>
      <c r="R11" s="6" t="s">
        <v>31</v>
      </c>
      <c r="S11" s="7" t="s">
        <v>32</v>
      </c>
    </row>
    <row r="12" spans="1:19">
      <c r="A12" s="4" t="s">
        <v>121</v>
      </c>
      <c r="B12" s="5">
        <v>4765</v>
      </c>
      <c r="C12" s="6" t="s">
        <v>43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I12" s="6" t="s">
        <v>127</v>
      </c>
      <c r="J12" s="6"/>
      <c r="K12" s="6"/>
      <c r="L12" s="6" t="s">
        <v>122</v>
      </c>
      <c r="M12" s="6" t="s">
        <v>128</v>
      </c>
      <c r="N12" s="6" t="s">
        <v>123</v>
      </c>
      <c r="O12" s="6" t="s">
        <v>129</v>
      </c>
      <c r="P12" s="6" t="s">
        <v>130</v>
      </c>
      <c r="Q12" s="6"/>
      <c r="R12" s="6" t="s">
        <v>31</v>
      </c>
      <c r="S12" s="7" t="s">
        <v>32</v>
      </c>
    </row>
    <row r="13" spans="1:19">
      <c r="A13" s="4" t="s">
        <v>131</v>
      </c>
      <c r="B13" s="5">
        <v>4744</v>
      </c>
      <c r="C13" s="6" t="s">
        <v>43</v>
      </c>
      <c r="D13" s="6" t="s">
        <v>132</v>
      </c>
      <c r="E13" s="6" t="s">
        <v>133</v>
      </c>
      <c r="F13" s="6" t="s">
        <v>134</v>
      </c>
      <c r="G13" s="6" t="s">
        <v>125</v>
      </c>
      <c r="H13" s="6" t="s">
        <v>126</v>
      </c>
      <c r="I13" s="6" t="s">
        <v>127</v>
      </c>
      <c r="J13" s="6" t="s">
        <v>135</v>
      </c>
      <c r="K13" s="6" t="s">
        <v>136</v>
      </c>
      <c r="L13" s="6" t="s">
        <v>132</v>
      </c>
      <c r="M13" s="6" t="s">
        <v>132</v>
      </c>
      <c r="N13" s="6" t="s">
        <v>133</v>
      </c>
      <c r="O13" s="6" t="s">
        <v>137</v>
      </c>
      <c r="P13" s="6" t="s">
        <v>138</v>
      </c>
      <c r="Q13" s="6"/>
      <c r="R13" s="6" t="s">
        <v>31</v>
      </c>
      <c r="S13" s="7" t="s">
        <v>32</v>
      </c>
    </row>
    <row r="14" spans="1:19">
      <c r="A14" s="4" t="s">
        <v>139</v>
      </c>
      <c r="B14" s="5">
        <v>4696</v>
      </c>
      <c r="C14" s="6" t="s">
        <v>103</v>
      </c>
      <c r="D14" s="6" t="s">
        <v>140</v>
      </c>
      <c r="E14" s="6" t="s">
        <v>141</v>
      </c>
      <c r="F14" s="6"/>
      <c r="G14" s="6" t="s">
        <v>142</v>
      </c>
      <c r="H14" s="6" t="s">
        <v>143</v>
      </c>
      <c r="I14" s="6" t="s">
        <v>144</v>
      </c>
      <c r="J14" s="6" t="s">
        <v>145</v>
      </c>
      <c r="K14" s="6"/>
      <c r="L14" s="6" t="s">
        <v>140</v>
      </c>
      <c r="M14" s="6" t="s">
        <v>140</v>
      </c>
      <c r="N14" s="6" t="s">
        <v>141</v>
      </c>
      <c r="O14" s="6" t="s">
        <v>146</v>
      </c>
      <c r="P14" s="6" t="s">
        <v>147</v>
      </c>
      <c r="Q14" s="6"/>
      <c r="R14" s="6" t="s">
        <v>31</v>
      </c>
      <c r="S14" s="7" t="s">
        <v>32</v>
      </c>
    </row>
    <row r="15" spans="1:19">
      <c r="A15" s="4" t="s">
        <v>148</v>
      </c>
      <c r="B15" s="5">
        <v>4692</v>
      </c>
      <c r="C15" s="6" t="s">
        <v>53</v>
      </c>
      <c r="D15" s="6" t="s">
        <v>149</v>
      </c>
      <c r="E15" s="6" t="s">
        <v>150</v>
      </c>
      <c r="F15" s="6" t="s">
        <v>151</v>
      </c>
      <c r="G15" s="6" t="s">
        <v>152</v>
      </c>
      <c r="H15" s="6" t="s">
        <v>153</v>
      </c>
      <c r="I15" s="6" t="s">
        <v>154</v>
      </c>
      <c r="J15" s="6" t="s">
        <v>155</v>
      </c>
      <c r="K15" s="6"/>
      <c r="L15" s="6" t="s">
        <v>149</v>
      </c>
      <c r="M15" s="6" t="s">
        <v>149</v>
      </c>
      <c r="N15" s="6" t="s">
        <v>150</v>
      </c>
      <c r="O15" s="6" t="s">
        <v>156</v>
      </c>
      <c r="P15" s="6" t="s">
        <v>157</v>
      </c>
      <c r="Q15" s="6" t="s">
        <v>158</v>
      </c>
      <c r="R15" s="6" t="s">
        <v>31</v>
      </c>
      <c r="S15" s="7" t="s">
        <v>32</v>
      </c>
    </row>
    <row r="16" spans="1:19">
      <c r="A16" s="4" t="s">
        <v>159</v>
      </c>
      <c r="B16" s="5">
        <v>4798</v>
      </c>
      <c r="C16" s="6" t="s">
        <v>103</v>
      </c>
      <c r="D16" s="6" t="s">
        <v>160</v>
      </c>
      <c r="E16" s="6" t="s">
        <v>161</v>
      </c>
      <c r="F16" s="6" t="s">
        <v>162</v>
      </c>
      <c r="G16" s="6" t="s">
        <v>163</v>
      </c>
      <c r="H16" s="6" t="s">
        <v>164</v>
      </c>
      <c r="I16" s="6" t="s">
        <v>165</v>
      </c>
      <c r="J16" s="6" t="s">
        <v>166</v>
      </c>
      <c r="K16" s="6"/>
      <c r="L16" s="6" t="s">
        <v>160</v>
      </c>
      <c r="M16" s="6" t="s">
        <v>160</v>
      </c>
      <c r="N16" s="6" t="s">
        <v>161</v>
      </c>
      <c r="O16" s="6" t="s">
        <v>167</v>
      </c>
      <c r="P16" s="6" t="s">
        <v>168</v>
      </c>
      <c r="Q16" s="6" t="s">
        <v>162</v>
      </c>
      <c r="R16" s="6" t="s">
        <v>169</v>
      </c>
      <c r="S16" s="7" t="s">
        <v>32</v>
      </c>
    </row>
    <row r="17" spans="1:19">
      <c r="A17" s="4" t="s">
        <v>170</v>
      </c>
      <c r="B17" s="5">
        <v>4660</v>
      </c>
      <c r="C17" s="6" t="s">
        <v>62</v>
      </c>
      <c r="D17" s="6" t="s">
        <v>171</v>
      </c>
      <c r="E17" s="6" t="s">
        <v>172</v>
      </c>
      <c r="F17" s="6" t="s">
        <v>173</v>
      </c>
      <c r="G17" s="6" t="s">
        <v>174</v>
      </c>
      <c r="H17" s="6" t="s">
        <v>175</v>
      </c>
      <c r="I17" s="6" t="s">
        <v>176</v>
      </c>
      <c r="J17" s="6"/>
      <c r="K17" s="6"/>
      <c r="L17" s="6" t="s">
        <v>171</v>
      </c>
      <c r="M17" s="6" t="s">
        <v>171</v>
      </c>
      <c r="N17" s="6" t="s">
        <v>172</v>
      </c>
      <c r="O17" s="6" t="s">
        <v>177</v>
      </c>
      <c r="P17" s="6" t="s">
        <v>178</v>
      </c>
      <c r="Q17" s="6"/>
      <c r="R17" s="6" t="s">
        <v>169</v>
      </c>
      <c r="S17" s="7" t="s">
        <v>32</v>
      </c>
    </row>
    <row r="18" spans="1:19">
      <c r="A18" s="4" t="s">
        <v>179</v>
      </c>
      <c r="B18" s="5">
        <v>4797</v>
      </c>
      <c r="C18" s="6" t="s">
        <v>103</v>
      </c>
      <c r="D18" s="6" t="s">
        <v>180</v>
      </c>
      <c r="E18" s="6" t="s">
        <v>181</v>
      </c>
      <c r="F18" s="6" t="s">
        <v>182</v>
      </c>
      <c r="G18" s="6" t="s">
        <v>183</v>
      </c>
      <c r="H18" s="6" t="s">
        <v>184</v>
      </c>
      <c r="I18" s="6" t="s">
        <v>185</v>
      </c>
      <c r="J18" s="6"/>
      <c r="K18" s="6"/>
      <c r="L18" s="6" t="s">
        <v>180</v>
      </c>
      <c r="M18" s="6" t="s">
        <v>180</v>
      </c>
      <c r="N18" s="6" t="s">
        <v>181</v>
      </c>
      <c r="O18" s="6" t="s">
        <v>186</v>
      </c>
      <c r="P18" s="6" t="s">
        <v>187</v>
      </c>
      <c r="Q18" s="6" t="s">
        <v>188</v>
      </c>
      <c r="R18" s="6" t="s">
        <v>169</v>
      </c>
      <c r="S18" s="7" t="s">
        <v>32</v>
      </c>
    </row>
    <row r="19" spans="1:19">
      <c r="A19" s="4" t="s">
        <v>189</v>
      </c>
      <c r="B19" s="5">
        <v>4714</v>
      </c>
      <c r="C19" s="6" t="s">
        <v>103</v>
      </c>
      <c r="D19" s="6" t="s">
        <v>190</v>
      </c>
      <c r="E19" s="6" t="s">
        <v>191</v>
      </c>
      <c r="F19" s="6" t="s">
        <v>192</v>
      </c>
      <c r="G19" s="6" t="s">
        <v>193</v>
      </c>
      <c r="H19" s="6" t="s">
        <v>194</v>
      </c>
      <c r="I19" s="6" t="s">
        <v>195</v>
      </c>
      <c r="J19" s="6"/>
      <c r="K19" s="6" t="s">
        <v>196</v>
      </c>
      <c r="L19" s="6" t="s">
        <v>190</v>
      </c>
      <c r="M19" s="6"/>
      <c r="N19" s="6" t="s">
        <v>191</v>
      </c>
      <c r="O19" s="6" t="s">
        <v>197</v>
      </c>
      <c r="P19" s="6" t="s">
        <v>198</v>
      </c>
      <c r="Q19" s="6"/>
      <c r="R19" s="6" t="s">
        <v>169</v>
      </c>
      <c r="S19" s="7" t="s">
        <v>32</v>
      </c>
    </row>
    <row r="20" spans="1:19">
      <c r="A20" s="8" t="s">
        <v>199</v>
      </c>
      <c r="B20" s="9">
        <v>4774</v>
      </c>
      <c r="C20" s="10" t="s">
        <v>53</v>
      </c>
      <c r="D20" s="10" t="s">
        <v>200</v>
      </c>
      <c r="E20" s="10" t="s">
        <v>201</v>
      </c>
      <c r="F20" s="10" t="s">
        <v>202</v>
      </c>
      <c r="G20" s="10" t="s">
        <v>203</v>
      </c>
      <c r="H20" s="10" t="s">
        <v>204</v>
      </c>
      <c r="I20" s="10" t="s">
        <v>205</v>
      </c>
      <c r="J20" s="10"/>
      <c r="K20" s="10"/>
      <c r="L20" s="10" t="s">
        <v>200</v>
      </c>
      <c r="M20" s="10" t="s">
        <v>200</v>
      </c>
      <c r="N20" s="10" t="s">
        <v>201</v>
      </c>
      <c r="O20" s="9">
        <v>5593398307</v>
      </c>
      <c r="P20" s="10" t="s">
        <v>206</v>
      </c>
      <c r="Q20" s="10"/>
      <c r="R20" s="10" t="s">
        <v>207</v>
      </c>
      <c r="S20" s="10"/>
    </row>
    <row r="21" spans="1:19">
      <c r="A21" s="4" t="s">
        <v>208</v>
      </c>
      <c r="B21" s="5">
        <v>4514</v>
      </c>
      <c r="C21" s="6" t="s">
        <v>103</v>
      </c>
      <c r="D21" s="6" t="s">
        <v>209</v>
      </c>
      <c r="E21" s="6" t="s">
        <v>210</v>
      </c>
      <c r="F21" s="6" t="s">
        <v>211</v>
      </c>
      <c r="G21" s="6" t="s">
        <v>212</v>
      </c>
      <c r="H21" s="6" t="s">
        <v>213</v>
      </c>
      <c r="I21" s="6" t="s">
        <v>214</v>
      </c>
      <c r="J21" s="6"/>
      <c r="K21" s="6"/>
      <c r="L21" s="6" t="s">
        <v>215</v>
      </c>
      <c r="M21" s="6" t="s">
        <v>215</v>
      </c>
      <c r="N21" s="6" t="s">
        <v>210</v>
      </c>
      <c r="O21" s="6" t="s">
        <v>216</v>
      </c>
      <c r="P21" s="6" t="s">
        <v>217</v>
      </c>
      <c r="Q21" s="6"/>
      <c r="R21" s="6" t="s">
        <v>169</v>
      </c>
      <c r="S21" s="7" t="s">
        <v>32</v>
      </c>
    </row>
    <row r="22" spans="1:19">
      <c r="A22" s="4" t="s">
        <v>218</v>
      </c>
      <c r="B22" s="5">
        <v>4515</v>
      </c>
      <c r="C22" s="6" t="s">
        <v>20</v>
      </c>
      <c r="D22" s="6" t="s">
        <v>219</v>
      </c>
      <c r="E22" s="6" t="s">
        <v>220</v>
      </c>
      <c r="F22" s="6" t="s">
        <v>221</v>
      </c>
      <c r="G22" s="6" t="s">
        <v>222</v>
      </c>
      <c r="H22" s="6" t="s">
        <v>223</v>
      </c>
      <c r="I22" s="11" t="s">
        <v>224</v>
      </c>
      <c r="J22" s="6"/>
      <c r="K22" s="6"/>
      <c r="L22" s="6" t="s">
        <v>219</v>
      </c>
      <c r="M22" s="6" t="s">
        <v>219</v>
      </c>
      <c r="N22" s="6" t="s">
        <v>220</v>
      </c>
      <c r="O22" s="6" t="s">
        <v>225</v>
      </c>
      <c r="P22" s="6" t="s">
        <v>226</v>
      </c>
      <c r="Q22" s="6" t="s">
        <v>227</v>
      </c>
      <c r="R22" s="6" t="s">
        <v>169</v>
      </c>
      <c r="S22" s="7" t="s">
        <v>32</v>
      </c>
    </row>
    <row r="23" spans="1:19">
      <c r="A23" s="4" t="s">
        <v>228</v>
      </c>
      <c r="B23" s="5">
        <v>4638</v>
      </c>
      <c r="C23" s="6" t="s">
        <v>103</v>
      </c>
      <c r="D23" s="6" t="s">
        <v>229</v>
      </c>
      <c r="E23" s="6" t="s">
        <v>230</v>
      </c>
      <c r="F23" s="6" t="s">
        <v>231</v>
      </c>
      <c r="G23" s="6" t="s">
        <v>232</v>
      </c>
      <c r="H23" s="6" t="s">
        <v>233</v>
      </c>
      <c r="I23" s="6" t="s">
        <v>234</v>
      </c>
      <c r="J23" s="6" t="s">
        <v>235</v>
      </c>
      <c r="K23" s="6" t="s">
        <v>236</v>
      </c>
      <c r="L23" s="6" t="s">
        <v>229</v>
      </c>
      <c r="M23" s="6" t="s">
        <v>229</v>
      </c>
      <c r="N23" s="6" t="s">
        <v>230</v>
      </c>
      <c r="O23" s="6" t="s">
        <v>237</v>
      </c>
      <c r="P23" s="6" t="s">
        <v>238</v>
      </c>
      <c r="Q23" s="6" t="s">
        <v>239</v>
      </c>
      <c r="R23" s="6" t="s">
        <v>169</v>
      </c>
      <c r="S23" s="7" t="s">
        <v>32</v>
      </c>
    </row>
    <row r="24" spans="1:19">
      <c r="A24" s="4" t="s">
        <v>240</v>
      </c>
      <c r="B24" s="5">
        <v>4609</v>
      </c>
      <c r="C24" s="6" t="s">
        <v>103</v>
      </c>
      <c r="D24" s="6" t="s">
        <v>241</v>
      </c>
      <c r="E24" s="6" t="s">
        <v>242</v>
      </c>
      <c r="F24" s="6" t="s">
        <v>243</v>
      </c>
      <c r="G24" s="6" t="s">
        <v>244</v>
      </c>
      <c r="H24" s="6" t="s">
        <v>245</v>
      </c>
      <c r="I24" s="6" t="s">
        <v>246</v>
      </c>
      <c r="J24" s="6"/>
      <c r="K24" s="6"/>
      <c r="L24" s="6" t="s">
        <v>241</v>
      </c>
      <c r="M24" s="6" t="s">
        <v>241</v>
      </c>
      <c r="N24" s="6" t="s">
        <v>242</v>
      </c>
      <c r="O24" s="6" t="s">
        <v>247</v>
      </c>
      <c r="P24" s="6" t="s">
        <v>248</v>
      </c>
      <c r="Q24" s="6"/>
      <c r="R24" s="6" t="s">
        <v>169</v>
      </c>
      <c r="S24" s="7" t="s">
        <v>32</v>
      </c>
    </row>
    <row r="25" spans="1:19">
      <c r="A25" s="4" t="s">
        <v>249</v>
      </c>
      <c r="B25" s="5">
        <v>4773</v>
      </c>
      <c r="C25" s="6" t="s">
        <v>103</v>
      </c>
      <c r="D25" s="6" t="s">
        <v>250</v>
      </c>
      <c r="E25" s="6" t="s">
        <v>251</v>
      </c>
      <c r="F25" s="6" t="s">
        <v>252</v>
      </c>
      <c r="G25" s="6" t="s">
        <v>253</v>
      </c>
      <c r="H25" s="6" t="s">
        <v>254</v>
      </c>
      <c r="I25" s="6" t="s">
        <v>255</v>
      </c>
      <c r="J25" s="6"/>
      <c r="K25" s="6"/>
      <c r="L25" s="6" t="s">
        <v>250</v>
      </c>
      <c r="M25" s="6" t="s">
        <v>250</v>
      </c>
      <c r="N25" s="6" t="s">
        <v>251</v>
      </c>
      <c r="O25" s="6" t="s">
        <v>256</v>
      </c>
      <c r="P25" s="6" t="s">
        <v>257</v>
      </c>
      <c r="Q25" s="6" t="s">
        <v>258</v>
      </c>
      <c r="R25" s="6" t="s">
        <v>169</v>
      </c>
      <c r="S25" s="7" t="s">
        <v>32</v>
      </c>
    </row>
    <row r="26" spans="1:19">
      <c r="A26" s="4" t="s">
        <v>259</v>
      </c>
      <c r="B26" s="5">
        <v>4517</v>
      </c>
      <c r="C26" s="6" t="s">
        <v>20</v>
      </c>
      <c r="D26" s="6" t="s">
        <v>260</v>
      </c>
      <c r="E26" s="6" t="s">
        <v>261</v>
      </c>
      <c r="F26" s="6" t="s">
        <v>262</v>
      </c>
      <c r="G26" s="6" t="s">
        <v>263</v>
      </c>
      <c r="H26" s="6" t="s">
        <v>264</v>
      </c>
      <c r="I26" s="6" t="s">
        <v>265</v>
      </c>
      <c r="J26" s="6"/>
      <c r="K26" s="6"/>
      <c r="L26" s="6" t="s">
        <v>260</v>
      </c>
      <c r="M26" s="6" t="s">
        <v>260</v>
      </c>
      <c r="N26" s="6" t="s">
        <v>261</v>
      </c>
      <c r="O26" s="6" t="s">
        <v>266</v>
      </c>
      <c r="P26" s="6" t="s">
        <v>267</v>
      </c>
      <c r="Q26" s="6"/>
      <c r="R26" s="6" t="s">
        <v>169</v>
      </c>
      <c r="S26" s="7" t="s">
        <v>32</v>
      </c>
    </row>
    <row r="27" spans="1:19">
      <c r="A27" s="4" t="s">
        <v>268</v>
      </c>
      <c r="B27" s="5">
        <v>4239</v>
      </c>
      <c r="C27" s="6" t="s">
        <v>269</v>
      </c>
      <c r="D27" s="6" t="s">
        <v>270</v>
      </c>
      <c r="E27" s="6" t="s">
        <v>271</v>
      </c>
      <c r="F27" s="6" t="s">
        <v>272</v>
      </c>
      <c r="G27" s="6" t="s">
        <v>273</v>
      </c>
      <c r="H27" s="6" t="s">
        <v>274</v>
      </c>
      <c r="I27" s="6" t="s">
        <v>275</v>
      </c>
      <c r="J27" s="6"/>
      <c r="K27" s="6" t="s">
        <v>276</v>
      </c>
      <c r="L27" s="6" t="s">
        <v>277</v>
      </c>
      <c r="M27" s="6" t="s">
        <v>278</v>
      </c>
      <c r="N27" s="6" t="s">
        <v>271</v>
      </c>
      <c r="O27" s="6" t="s">
        <v>279</v>
      </c>
      <c r="P27" s="6" t="s">
        <v>280</v>
      </c>
      <c r="Q27" s="6" t="s">
        <v>281</v>
      </c>
      <c r="R27" s="6" t="s">
        <v>282</v>
      </c>
      <c r="S27" s="6"/>
    </row>
    <row r="28" spans="1:19">
      <c r="A28" s="4" t="s">
        <v>283</v>
      </c>
      <c r="B28" s="5">
        <v>4667</v>
      </c>
      <c r="C28" s="6" t="s">
        <v>103</v>
      </c>
      <c r="D28" s="6" t="s">
        <v>284</v>
      </c>
      <c r="E28" s="6" t="s">
        <v>285</v>
      </c>
      <c r="F28" s="6" t="s">
        <v>286</v>
      </c>
      <c r="G28" s="6" t="s">
        <v>287</v>
      </c>
      <c r="H28" s="6" t="s">
        <v>288</v>
      </c>
      <c r="I28" s="6" t="s">
        <v>289</v>
      </c>
      <c r="J28" s="6"/>
      <c r="K28" s="6"/>
      <c r="L28" s="6" t="s">
        <v>284</v>
      </c>
      <c r="M28" s="6" t="s">
        <v>284</v>
      </c>
      <c r="N28" s="6" t="s">
        <v>285</v>
      </c>
      <c r="O28" s="6" t="s">
        <v>290</v>
      </c>
      <c r="P28" s="6" t="s">
        <v>291</v>
      </c>
      <c r="Q28" s="6"/>
      <c r="R28" s="6" t="s">
        <v>169</v>
      </c>
      <c r="S28" s="7" t="s">
        <v>32</v>
      </c>
    </row>
    <row r="29" spans="1:19">
      <c r="A29" s="4" t="s">
        <v>292</v>
      </c>
      <c r="B29" s="5">
        <v>4519</v>
      </c>
      <c r="C29" s="6" t="s">
        <v>62</v>
      </c>
      <c r="D29" s="6" t="s">
        <v>293</v>
      </c>
      <c r="E29" s="6" t="s">
        <v>294</v>
      </c>
      <c r="F29" s="6" t="s">
        <v>295</v>
      </c>
      <c r="G29" s="6" t="s">
        <v>296</v>
      </c>
      <c r="H29" s="6" t="s">
        <v>297</v>
      </c>
      <c r="I29" s="6" t="s">
        <v>298</v>
      </c>
      <c r="J29" s="6" t="s">
        <v>299</v>
      </c>
      <c r="K29" s="6" t="s">
        <v>300</v>
      </c>
      <c r="L29" s="6" t="s">
        <v>293</v>
      </c>
      <c r="M29" s="6" t="s">
        <v>293</v>
      </c>
      <c r="N29" s="6" t="s">
        <v>294</v>
      </c>
      <c r="O29" s="6" t="s">
        <v>301</v>
      </c>
      <c r="P29" s="6" t="s">
        <v>302</v>
      </c>
      <c r="Q29" s="6" t="s">
        <v>303</v>
      </c>
      <c r="R29" s="6" t="s">
        <v>169</v>
      </c>
      <c r="S29" s="7" t="s">
        <v>32</v>
      </c>
    </row>
    <row r="30" spans="1:19">
      <c r="A30" s="4" t="s">
        <v>304</v>
      </c>
      <c r="B30" s="5">
        <v>4221</v>
      </c>
      <c r="C30" s="6" t="s">
        <v>305</v>
      </c>
      <c r="D30" s="6" t="s">
        <v>306</v>
      </c>
      <c r="E30" s="6" t="s">
        <v>307</v>
      </c>
      <c r="F30" s="6" t="s">
        <v>308</v>
      </c>
      <c r="G30" s="6" t="s">
        <v>309</v>
      </c>
      <c r="H30" s="6" t="s">
        <v>310</v>
      </c>
      <c r="I30" s="6" t="s">
        <v>311</v>
      </c>
      <c r="J30" s="6"/>
      <c r="K30" s="6" t="s">
        <v>312</v>
      </c>
      <c r="L30" s="6" t="s">
        <v>306</v>
      </c>
      <c r="M30" s="6" t="s">
        <v>306</v>
      </c>
      <c r="N30" s="6" t="s">
        <v>307</v>
      </c>
      <c r="O30" s="6" t="s">
        <v>279</v>
      </c>
      <c r="P30" s="6" t="s">
        <v>280</v>
      </c>
      <c r="Q30" s="6"/>
      <c r="R30" s="6" t="s">
        <v>282</v>
      </c>
      <c r="S30" s="6"/>
    </row>
    <row r="31" spans="1:19">
      <c r="A31" s="4" t="s">
        <v>313</v>
      </c>
      <c r="B31" s="5">
        <v>4203</v>
      </c>
      <c r="C31" s="6" t="s">
        <v>314</v>
      </c>
      <c r="D31" s="6" t="s">
        <v>315</v>
      </c>
      <c r="E31" s="6" t="s">
        <v>316</v>
      </c>
      <c r="F31" s="6" t="s">
        <v>317</v>
      </c>
      <c r="G31" s="6" t="s">
        <v>318</v>
      </c>
      <c r="H31" s="6" t="s">
        <v>319</v>
      </c>
      <c r="I31" s="6" t="s">
        <v>320</v>
      </c>
      <c r="J31" s="6"/>
      <c r="K31" s="6" t="s">
        <v>321</v>
      </c>
      <c r="L31" s="6" t="s">
        <v>315</v>
      </c>
      <c r="M31" s="6" t="s">
        <v>315</v>
      </c>
      <c r="N31" s="6" t="s">
        <v>316</v>
      </c>
      <c r="O31" s="6" t="s">
        <v>279</v>
      </c>
      <c r="P31" s="6" t="s">
        <v>280</v>
      </c>
      <c r="Q31" s="12"/>
      <c r="R31" s="6" t="s">
        <v>282</v>
      </c>
      <c r="S31" s="6"/>
    </row>
    <row r="32" spans="1:19">
      <c r="A32" s="4" t="s">
        <v>322</v>
      </c>
      <c r="B32" s="5">
        <v>4687</v>
      </c>
      <c r="C32" s="6" t="s">
        <v>103</v>
      </c>
      <c r="D32" s="6" t="s">
        <v>323</v>
      </c>
      <c r="E32" s="6" t="s">
        <v>324</v>
      </c>
      <c r="F32" s="6" t="s">
        <v>325</v>
      </c>
      <c r="G32" s="6" t="s">
        <v>326</v>
      </c>
      <c r="H32" s="6" t="s">
        <v>327</v>
      </c>
      <c r="I32" s="6" t="s">
        <v>328</v>
      </c>
      <c r="J32" s="6"/>
      <c r="K32" s="6"/>
      <c r="L32" s="6" t="s">
        <v>323</v>
      </c>
      <c r="M32" s="6" t="s">
        <v>323</v>
      </c>
      <c r="N32" s="6" t="s">
        <v>324</v>
      </c>
      <c r="O32" s="6" t="s">
        <v>329</v>
      </c>
      <c r="P32" s="6" t="s">
        <v>330</v>
      </c>
      <c r="Q32" s="6"/>
      <c r="R32" s="6" t="s">
        <v>169</v>
      </c>
      <c r="S32" s="7" t="s">
        <v>32</v>
      </c>
    </row>
    <row r="33" spans="1:19">
      <c r="A33" s="4" t="s">
        <v>331</v>
      </c>
      <c r="B33" s="5">
        <v>4520</v>
      </c>
      <c r="C33" s="6" t="s">
        <v>103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/>
      <c r="K33" s="6"/>
      <c r="L33" s="6" t="s">
        <v>332</v>
      </c>
      <c r="M33" s="6" t="s">
        <v>332</v>
      </c>
      <c r="N33" s="6" t="s">
        <v>333</v>
      </c>
      <c r="O33" s="6" t="s">
        <v>338</v>
      </c>
      <c r="P33" s="6" t="s">
        <v>339</v>
      </c>
      <c r="Q33" s="6"/>
      <c r="R33" s="6" t="s">
        <v>169</v>
      </c>
      <c r="S33" s="7" t="s">
        <v>32</v>
      </c>
    </row>
    <row r="34" spans="1:19">
      <c r="A34" s="4" t="s">
        <v>340</v>
      </c>
      <c r="B34" s="5">
        <v>4521</v>
      </c>
      <c r="C34" s="6" t="s">
        <v>43</v>
      </c>
      <c r="D34" s="6" t="s">
        <v>341</v>
      </c>
      <c r="E34" s="6" t="s">
        <v>342</v>
      </c>
      <c r="F34" s="6" t="s">
        <v>343</v>
      </c>
      <c r="G34" s="6" t="s">
        <v>344</v>
      </c>
      <c r="H34" s="6" t="s">
        <v>345</v>
      </c>
      <c r="I34" s="6" t="s">
        <v>346</v>
      </c>
      <c r="J34" s="6" t="s">
        <v>347</v>
      </c>
      <c r="K34" s="6" t="s">
        <v>348</v>
      </c>
      <c r="L34" s="6" t="s">
        <v>341</v>
      </c>
      <c r="M34" s="6" t="s">
        <v>341</v>
      </c>
      <c r="N34" s="6" t="s">
        <v>342</v>
      </c>
      <c r="O34" s="6" t="s">
        <v>349</v>
      </c>
      <c r="P34" s="6" t="s">
        <v>350</v>
      </c>
      <c r="Q34" s="6" t="s">
        <v>351</v>
      </c>
      <c r="R34" s="6" t="s">
        <v>169</v>
      </c>
      <c r="S34" s="7" t="s">
        <v>32</v>
      </c>
    </row>
    <row r="35" spans="1:19">
      <c r="A35" s="4" t="s">
        <v>352</v>
      </c>
      <c r="B35" s="5">
        <v>4930</v>
      </c>
      <c r="C35" s="6" t="s">
        <v>103</v>
      </c>
      <c r="D35" s="6" t="s">
        <v>353</v>
      </c>
      <c r="E35" s="6" t="s">
        <v>354</v>
      </c>
      <c r="F35" s="6" t="s">
        <v>355</v>
      </c>
      <c r="G35" s="6" t="s">
        <v>356</v>
      </c>
      <c r="H35" s="6" t="s">
        <v>357</v>
      </c>
      <c r="I35" s="6" t="s">
        <v>358</v>
      </c>
      <c r="J35" s="6"/>
      <c r="K35" s="6"/>
      <c r="L35" s="6" t="s">
        <v>353</v>
      </c>
      <c r="M35" s="6" t="s">
        <v>353</v>
      </c>
      <c r="N35" s="6" t="s">
        <v>359</v>
      </c>
      <c r="O35" s="6" t="s">
        <v>360</v>
      </c>
      <c r="P35" s="6" t="s">
        <v>361</v>
      </c>
      <c r="Q35" s="6"/>
      <c r="R35" s="6" t="s">
        <v>169</v>
      </c>
      <c r="S35" s="7" t="s">
        <v>32</v>
      </c>
    </row>
    <row r="36" spans="1:19">
      <c r="A36" s="4" t="s">
        <v>362</v>
      </c>
      <c r="B36" s="5">
        <v>4524</v>
      </c>
      <c r="C36" s="6" t="s">
        <v>62</v>
      </c>
      <c r="D36" s="6" t="s">
        <v>363</v>
      </c>
      <c r="E36" s="6" t="s">
        <v>364</v>
      </c>
      <c r="F36" s="6" t="s">
        <v>365</v>
      </c>
      <c r="G36" s="6" t="s">
        <v>366</v>
      </c>
      <c r="H36" s="6" t="s">
        <v>367</v>
      </c>
      <c r="I36" s="6" t="s">
        <v>368</v>
      </c>
      <c r="J36" s="6" t="s">
        <v>369</v>
      </c>
      <c r="K36" s="6"/>
      <c r="L36" s="6" t="s">
        <v>363</v>
      </c>
      <c r="M36" s="6" t="s">
        <v>363</v>
      </c>
      <c r="N36" s="6" t="s">
        <v>364</v>
      </c>
      <c r="O36" s="6" t="s">
        <v>370</v>
      </c>
      <c r="P36" s="6" t="s">
        <v>371</v>
      </c>
      <c r="Q36" s="6" t="s">
        <v>372</v>
      </c>
      <c r="R36" s="6" t="s">
        <v>169</v>
      </c>
      <c r="S36" s="7" t="s">
        <v>32</v>
      </c>
    </row>
    <row r="37" spans="1:19">
      <c r="A37" s="4" t="s">
        <v>373</v>
      </c>
      <c r="B37" s="5">
        <v>4670</v>
      </c>
      <c r="C37" s="6" t="s">
        <v>53</v>
      </c>
      <c r="D37" s="6" t="s">
        <v>374</v>
      </c>
      <c r="E37" s="6" t="s">
        <v>375</v>
      </c>
      <c r="F37" s="6" t="s">
        <v>376</v>
      </c>
      <c r="G37" s="6" t="s">
        <v>377</v>
      </c>
      <c r="H37" s="6" t="s">
        <v>378</v>
      </c>
      <c r="I37" s="6" t="s">
        <v>379</v>
      </c>
      <c r="J37" s="6" t="s">
        <v>380</v>
      </c>
      <c r="K37" s="6" t="s">
        <v>381</v>
      </c>
      <c r="L37" s="6" t="s">
        <v>374</v>
      </c>
      <c r="M37" s="6" t="s">
        <v>374</v>
      </c>
      <c r="N37" s="6" t="s">
        <v>375</v>
      </c>
      <c r="O37" s="6" t="s">
        <v>382</v>
      </c>
      <c r="P37" s="6" t="s">
        <v>383</v>
      </c>
      <c r="Q37" s="6" t="s">
        <v>384</v>
      </c>
      <c r="R37" s="6" t="s">
        <v>169</v>
      </c>
      <c r="S37" s="7" t="s">
        <v>32</v>
      </c>
    </row>
    <row r="38" spans="1:19">
      <c r="A38" s="4" t="s">
        <v>385</v>
      </c>
      <c r="B38" s="5">
        <v>4512</v>
      </c>
      <c r="C38" s="6" t="s">
        <v>62</v>
      </c>
      <c r="D38" s="6" t="s">
        <v>386</v>
      </c>
      <c r="E38" s="6" t="s">
        <v>387</v>
      </c>
      <c r="F38" s="6" t="s">
        <v>388</v>
      </c>
      <c r="G38" s="6" t="s">
        <v>389</v>
      </c>
      <c r="H38" s="6" t="s">
        <v>390</v>
      </c>
      <c r="I38" s="6" t="s">
        <v>391</v>
      </c>
      <c r="J38" s="6" t="s">
        <v>392</v>
      </c>
      <c r="K38" s="6" t="s">
        <v>388</v>
      </c>
      <c r="L38" s="6" t="s">
        <v>386</v>
      </c>
      <c r="M38" s="6" t="s">
        <v>386</v>
      </c>
      <c r="N38" s="6" t="s">
        <v>387</v>
      </c>
      <c r="O38" s="6" t="s">
        <v>393</v>
      </c>
      <c r="P38" s="6" t="s">
        <v>394</v>
      </c>
      <c r="Q38" s="6" t="s">
        <v>395</v>
      </c>
      <c r="R38" s="6" t="s">
        <v>169</v>
      </c>
      <c r="S38" s="7" t="s">
        <v>32</v>
      </c>
    </row>
    <row r="39" spans="1:19">
      <c r="A39" s="4" t="s">
        <v>396</v>
      </c>
      <c r="B39" s="5">
        <v>4353</v>
      </c>
      <c r="C39" s="6" t="s">
        <v>397</v>
      </c>
      <c r="D39" s="6" t="s">
        <v>398</v>
      </c>
      <c r="E39" s="6" t="s">
        <v>399</v>
      </c>
      <c r="F39" s="6" t="s">
        <v>400</v>
      </c>
      <c r="G39" s="6" t="s">
        <v>401</v>
      </c>
      <c r="H39" s="6" t="s">
        <v>402</v>
      </c>
      <c r="I39" s="6" t="s">
        <v>403</v>
      </c>
      <c r="J39" s="6"/>
      <c r="K39" s="6" t="s">
        <v>404</v>
      </c>
      <c r="L39" s="6" t="s">
        <v>398</v>
      </c>
      <c r="M39" s="6" t="s">
        <v>398</v>
      </c>
      <c r="N39" s="6" t="s">
        <v>399</v>
      </c>
      <c r="O39" s="6" t="s">
        <v>279</v>
      </c>
      <c r="P39" s="6" t="s">
        <v>280</v>
      </c>
      <c r="Q39" s="6" t="s">
        <v>405</v>
      </c>
      <c r="R39" s="6" t="s">
        <v>282</v>
      </c>
      <c r="S39" s="6"/>
    </row>
    <row r="40" spans="1:19">
      <c r="A40" s="4" t="s">
        <v>406</v>
      </c>
      <c r="B40" s="5">
        <v>4264</v>
      </c>
      <c r="C40" s="6" t="s">
        <v>397</v>
      </c>
      <c r="D40" s="6" t="s">
        <v>407</v>
      </c>
      <c r="E40" s="6" t="s">
        <v>408</v>
      </c>
      <c r="F40" s="6" t="s">
        <v>409</v>
      </c>
      <c r="G40" s="6" t="s">
        <v>410</v>
      </c>
      <c r="H40" s="6" t="s">
        <v>411</v>
      </c>
      <c r="I40" s="6" t="s">
        <v>412</v>
      </c>
      <c r="J40" s="6"/>
      <c r="K40" s="6"/>
      <c r="L40" s="6" t="s">
        <v>407</v>
      </c>
      <c r="M40" s="6" t="s">
        <v>407</v>
      </c>
      <c r="N40" s="6" t="s">
        <v>408</v>
      </c>
      <c r="O40" s="6" t="s">
        <v>413</v>
      </c>
      <c r="P40" s="6" t="s">
        <v>414</v>
      </c>
      <c r="Q40" s="6" t="s">
        <v>415</v>
      </c>
      <c r="R40" s="6" t="s">
        <v>282</v>
      </c>
      <c r="S40" s="6"/>
    </row>
    <row r="41" spans="1:19">
      <c r="A41" s="4" t="s">
        <v>416</v>
      </c>
      <c r="B41" s="5">
        <v>4530</v>
      </c>
      <c r="C41" s="6" t="s">
        <v>62</v>
      </c>
      <c r="D41" s="6" t="s">
        <v>417</v>
      </c>
      <c r="E41" s="6" t="s">
        <v>418</v>
      </c>
      <c r="F41" s="6" t="s">
        <v>419</v>
      </c>
      <c r="G41" s="6" t="s">
        <v>420</v>
      </c>
      <c r="H41" s="6" t="s">
        <v>421</v>
      </c>
      <c r="I41" s="6" t="s">
        <v>422</v>
      </c>
      <c r="J41" s="6" t="s">
        <v>423</v>
      </c>
      <c r="K41" s="6" t="s">
        <v>424</v>
      </c>
      <c r="L41" s="6" t="s">
        <v>417</v>
      </c>
      <c r="M41" s="6" t="s">
        <v>417</v>
      </c>
      <c r="N41" s="6" t="s">
        <v>418</v>
      </c>
      <c r="O41" s="6" t="s">
        <v>425</v>
      </c>
      <c r="P41" s="6" t="s">
        <v>426</v>
      </c>
      <c r="Q41" s="6" t="s">
        <v>427</v>
      </c>
      <c r="R41" s="6" t="s">
        <v>169</v>
      </c>
      <c r="S41" s="7" t="s">
        <v>32</v>
      </c>
    </row>
    <row r="42" spans="1:19">
      <c r="A42" s="4" t="s">
        <v>428</v>
      </c>
      <c r="B42" s="5">
        <v>4146</v>
      </c>
      <c r="C42" s="6" t="s">
        <v>397</v>
      </c>
      <c r="D42" s="6" t="s">
        <v>429</v>
      </c>
      <c r="E42" s="6" t="s">
        <v>430</v>
      </c>
      <c r="F42" s="6" t="s">
        <v>431</v>
      </c>
      <c r="G42" s="6" t="s">
        <v>432</v>
      </c>
      <c r="H42" s="6" t="s">
        <v>433</v>
      </c>
      <c r="I42" s="6" t="s">
        <v>434</v>
      </c>
      <c r="J42" s="6"/>
      <c r="K42" s="6" t="s">
        <v>435</v>
      </c>
      <c r="L42" s="6" t="s">
        <v>429</v>
      </c>
      <c r="M42" s="6" t="s">
        <v>429</v>
      </c>
      <c r="N42" s="6" t="s">
        <v>430</v>
      </c>
      <c r="O42" s="6" t="s">
        <v>279</v>
      </c>
      <c r="P42" s="6" t="s">
        <v>280</v>
      </c>
      <c r="Q42" s="6"/>
      <c r="R42" s="6" t="s">
        <v>282</v>
      </c>
      <c r="S42" s="6"/>
    </row>
    <row r="43" spans="1:19">
      <c r="A43" s="4" t="s">
        <v>436</v>
      </c>
      <c r="B43" s="5">
        <v>4547</v>
      </c>
      <c r="C43" s="6" t="s">
        <v>62</v>
      </c>
      <c r="D43" s="6" t="s">
        <v>437</v>
      </c>
      <c r="E43" s="6" t="s">
        <v>438</v>
      </c>
      <c r="F43" s="6" t="s">
        <v>439</v>
      </c>
      <c r="G43" s="6" t="s">
        <v>296</v>
      </c>
      <c r="H43" s="6" t="s">
        <v>297</v>
      </c>
      <c r="I43" s="6" t="s">
        <v>298</v>
      </c>
      <c r="J43" s="6" t="s">
        <v>440</v>
      </c>
      <c r="K43" s="6" t="s">
        <v>441</v>
      </c>
      <c r="L43" s="6" t="s">
        <v>437</v>
      </c>
      <c r="M43" s="6" t="s">
        <v>437</v>
      </c>
      <c r="N43" s="6" t="s">
        <v>438</v>
      </c>
      <c r="O43" s="6" t="s">
        <v>442</v>
      </c>
      <c r="P43" s="6" t="s">
        <v>443</v>
      </c>
      <c r="Q43" s="6"/>
      <c r="R43" s="6" t="s">
        <v>169</v>
      </c>
      <c r="S43" s="7" t="s">
        <v>32</v>
      </c>
    </row>
    <row r="44" spans="1:19">
      <c r="A44" s="4" t="s">
        <v>444</v>
      </c>
      <c r="B44" s="5">
        <v>4222</v>
      </c>
      <c r="C44" s="6" t="s">
        <v>397</v>
      </c>
      <c r="D44" s="6" t="s">
        <v>445</v>
      </c>
      <c r="E44" s="6" t="s">
        <v>446</v>
      </c>
      <c r="F44" s="6" t="s">
        <v>447</v>
      </c>
      <c r="G44" s="6" t="s">
        <v>448</v>
      </c>
      <c r="H44" s="6" t="s">
        <v>449</v>
      </c>
      <c r="I44" s="6" t="s">
        <v>450</v>
      </c>
      <c r="J44" s="6"/>
      <c r="K44" s="6" t="s">
        <v>451</v>
      </c>
      <c r="L44" s="6" t="s">
        <v>445</v>
      </c>
      <c r="M44" s="6" t="s">
        <v>452</v>
      </c>
      <c r="N44" s="6" t="s">
        <v>446</v>
      </c>
      <c r="O44" s="6" t="s">
        <v>279</v>
      </c>
      <c r="P44" s="6" t="s">
        <v>280</v>
      </c>
      <c r="Q44" s="6"/>
      <c r="R44" s="6" t="s">
        <v>282</v>
      </c>
      <c r="S44" s="6"/>
    </row>
    <row r="45" spans="1:19">
      <c r="A45" s="4" t="s">
        <v>453</v>
      </c>
      <c r="B45" s="5">
        <v>4555</v>
      </c>
      <c r="C45" s="6" t="s">
        <v>62</v>
      </c>
      <c r="D45" s="6" t="s">
        <v>454</v>
      </c>
      <c r="E45" s="6" t="s">
        <v>455</v>
      </c>
      <c r="F45" s="6" t="s">
        <v>456</v>
      </c>
      <c r="G45" s="6" t="s">
        <v>420</v>
      </c>
      <c r="H45" s="6" t="s">
        <v>421</v>
      </c>
      <c r="I45" s="6" t="s">
        <v>422</v>
      </c>
      <c r="J45" s="6" t="s">
        <v>457</v>
      </c>
      <c r="K45" s="6" t="s">
        <v>458</v>
      </c>
      <c r="L45" s="6" t="s">
        <v>454</v>
      </c>
      <c r="M45" s="6" t="s">
        <v>454</v>
      </c>
      <c r="N45" s="6" t="s">
        <v>455</v>
      </c>
      <c r="O45" s="6" t="s">
        <v>459</v>
      </c>
      <c r="P45" s="6" t="s">
        <v>460</v>
      </c>
      <c r="Q45" s="6" t="s">
        <v>461</v>
      </c>
      <c r="R45" s="6" t="s">
        <v>169</v>
      </c>
      <c r="S45" s="7" t="s">
        <v>32</v>
      </c>
    </row>
    <row r="46" spans="1:19">
      <c r="A46" s="4" t="s">
        <v>462</v>
      </c>
      <c r="B46" s="5">
        <v>4557</v>
      </c>
      <c r="C46" s="6" t="s">
        <v>62</v>
      </c>
      <c r="D46" s="6" t="s">
        <v>463</v>
      </c>
      <c r="E46" s="6" t="s">
        <v>464</v>
      </c>
      <c r="F46" s="6" t="s">
        <v>465</v>
      </c>
      <c r="G46" s="6" t="s">
        <v>420</v>
      </c>
      <c r="H46" s="6" t="s">
        <v>421</v>
      </c>
      <c r="I46" s="6" t="s">
        <v>422</v>
      </c>
      <c r="J46" s="6" t="s">
        <v>466</v>
      </c>
      <c r="K46" s="6" t="s">
        <v>467</v>
      </c>
      <c r="L46" s="6" t="s">
        <v>463</v>
      </c>
      <c r="M46" s="6" t="s">
        <v>463</v>
      </c>
      <c r="N46" s="6" t="s">
        <v>464</v>
      </c>
      <c r="O46" s="6" t="s">
        <v>468</v>
      </c>
      <c r="P46" s="6" t="s">
        <v>469</v>
      </c>
      <c r="Q46" s="6" t="s">
        <v>470</v>
      </c>
      <c r="R46" s="6" t="s">
        <v>169</v>
      </c>
      <c r="S46" s="7" t="s">
        <v>32</v>
      </c>
    </row>
    <row r="47" spans="1:19">
      <c r="A47" s="4" t="s">
        <v>471</v>
      </c>
      <c r="B47" s="5">
        <v>4559</v>
      </c>
      <c r="C47" s="6" t="s">
        <v>62</v>
      </c>
      <c r="D47" s="6" t="s">
        <v>472</v>
      </c>
      <c r="E47" s="6" t="s">
        <v>473</v>
      </c>
      <c r="F47" s="6" t="s">
        <v>474</v>
      </c>
      <c r="G47" s="6" t="s">
        <v>296</v>
      </c>
      <c r="H47" s="6" t="s">
        <v>297</v>
      </c>
      <c r="I47" s="6" t="s">
        <v>298</v>
      </c>
      <c r="J47" s="6" t="s">
        <v>475</v>
      </c>
      <c r="K47" s="6" t="s">
        <v>476</v>
      </c>
      <c r="L47" s="6" t="s">
        <v>472</v>
      </c>
      <c r="M47" s="6" t="s">
        <v>472</v>
      </c>
      <c r="N47" s="6" t="s">
        <v>473</v>
      </c>
      <c r="O47" s="6" t="s">
        <v>477</v>
      </c>
      <c r="P47" s="6" t="s">
        <v>478</v>
      </c>
      <c r="Q47" s="6" t="s">
        <v>479</v>
      </c>
      <c r="R47" s="6" t="s">
        <v>169</v>
      </c>
      <c r="S47" s="7" t="s">
        <v>32</v>
      </c>
    </row>
    <row r="48" spans="1:19">
      <c r="A48" s="4" t="s">
        <v>480</v>
      </c>
      <c r="B48" s="5">
        <v>4561</v>
      </c>
      <c r="C48" s="6" t="s">
        <v>62</v>
      </c>
      <c r="D48" s="6" t="s">
        <v>481</v>
      </c>
      <c r="E48" s="6" t="s">
        <v>482</v>
      </c>
      <c r="F48" s="6" t="s">
        <v>483</v>
      </c>
      <c r="G48" s="6" t="s">
        <v>484</v>
      </c>
      <c r="H48" s="6" t="s">
        <v>485</v>
      </c>
      <c r="I48" s="6" t="s">
        <v>486</v>
      </c>
      <c r="J48" s="6"/>
      <c r="K48" s="6"/>
      <c r="L48" s="6" t="s">
        <v>481</v>
      </c>
      <c r="M48" s="6" t="s">
        <v>481</v>
      </c>
      <c r="N48" s="6" t="s">
        <v>482</v>
      </c>
      <c r="O48" s="6" t="s">
        <v>487</v>
      </c>
      <c r="P48" s="6" t="s">
        <v>488</v>
      </c>
      <c r="Q48" s="6" t="s">
        <v>489</v>
      </c>
      <c r="R48" s="6" t="s">
        <v>169</v>
      </c>
      <c r="S48" s="7" t="s">
        <v>32</v>
      </c>
    </row>
    <row r="49" spans="1:19">
      <c r="A49" s="4" t="s">
        <v>490</v>
      </c>
      <c r="B49" s="5">
        <v>4269</v>
      </c>
      <c r="C49" s="6" t="s">
        <v>397</v>
      </c>
      <c r="D49" s="6" t="s">
        <v>491</v>
      </c>
      <c r="E49" s="6" t="s">
        <v>492</v>
      </c>
      <c r="F49" s="6" t="s">
        <v>493</v>
      </c>
      <c r="G49" s="6" t="s">
        <v>494</v>
      </c>
      <c r="H49" s="6" t="s">
        <v>495</v>
      </c>
      <c r="I49" s="6" t="s">
        <v>496</v>
      </c>
      <c r="J49" s="6"/>
      <c r="K49" s="6" t="s">
        <v>497</v>
      </c>
      <c r="L49" s="6" t="s">
        <v>498</v>
      </c>
      <c r="M49" s="6" t="s">
        <v>499</v>
      </c>
      <c r="N49" s="6" t="s">
        <v>492</v>
      </c>
      <c r="O49" s="6" t="s">
        <v>279</v>
      </c>
      <c r="P49" s="6" t="s">
        <v>280</v>
      </c>
      <c r="Q49" s="6" t="s">
        <v>493</v>
      </c>
      <c r="R49" s="6" t="s">
        <v>282</v>
      </c>
      <c r="S49" s="6"/>
    </row>
    <row r="50" spans="1:19">
      <c r="A50" s="4" t="s">
        <v>500</v>
      </c>
      <c r="B50" s="5">
        <v>4219</v>
      </c>
      <c r="C50" s="6" t="s">
        <v>397</v>
      </c>
      <c r="D50" s="6" t="s">
        <v>501</v>
      </c>
      <c r="E50" s="6" t="s">
        <v>502</v>
      </c>
      <c r="F50" s="6" t="s">
        <v>503</v>
      </c>
      <c r="G50" s="6" t="s">
        <v>504</v>
      </c>
      <c r="H50" s="6" t="s">
        <v>505</v>
      </c>
      <c r="I50" s="6" t="s">
        <v>506</v>
      </c>
      <c r="J50" s="6"/>
      <c r="K50" s="6" t="s">
        <v>507</v>
      </c>
      <c r="L50" s="6" t="s">
        <v>501</v>
      </c>
      <c r="M50" s="6" t="s">
        <v>508</v>
      </c>
      <c r="N50" s="6" t="s">
        <v>502</v>
      </c>
      <c r="O50" s="6" t="s">
        <v>279</v>
      </c>
      <c r="P50" s="6" t="s">
        <v>280</v>
      </c>
      <c r="Q50" s="6"/>
      <c r="R50" s="6" t="s">
        <v>282</v>
      </c>
      <c r="S50" s="6"/>
    </row>
    <row r="51" spans="1:19">
      <c r="A51" s="4" t="s">
        <v>509</v>
      </c>
      <c r="B51" s="5">
        <v>4360</v>
      </c>
      <c r="C51" s="6" t="s">
        <v>397</v>
      </c>
      <c r="D51" s="6" t="s">
        <v>510</v>
      </c>
      <c r="E51" s="6" t="s">
        <v>511</v>
      </c>
      <c r="F51" s="6" t="s">
        <v>512</v>
      </c>
      <c r="G51" s="6" t="s">
        <v>513</v>
      </c>
      <c r="H51" s="6" t="s">
        <v>514</v>
      </c>
      <c r="I51" s="6" t="s">
        <v>515</v>
      </c>
      <c r="J51" s="6"/>
      <c r="K51" s="6" t="s">
        <v>516</v>
      </c>
      <c r="L51" s="6" t="s">
        <v>517</v>
      </c>
      <c r="M51" s="6" t="s">
        <v>518</v>
      </c>
      <c r="N51" s="6" t="s">
        <v>511</v>
      </c>
      <c r="O51" s="6" t="s">
        <v>279</v>
      </c>
      <c r="P51" s="6" t="s">
        <v>280</v>
      </c>
      <c r="Q51" s="6"/>
      <c r="R51" s="6" t="s">
        <v>282</v>
      </c>
      <c r="S51" s="6"/>
    </row>
    <row r="52" spans="1:19">
      <c r="A52" s="4" t="s">
        <v>519</v>
      </c>
      <c r="B52" s="5">
        <v>4349</v>
      </c>
      <c r="C52" s="6" t="s">
        <v>397</v>
      </c>
      <c r="D52" s="6" t="s">
        <v>520</v>
      </c>
      <c r="E52" s="6" t="s">
        <v>521</v>
      </c>
      <c r="F52" s="6" t="s">
        <v>522</v>
      </c>
      <c r="G52" s="6" t="s">
        <v>523</v>
      </c>
      <c r="H52" s="6" t="s">
        <v>524</v>
      </c>
      <c r="I52" s="6" t="s">
        <v>525</v>
      </c>
      <c r="J52" s="6"/>
      <c r="K52" s="6" t="s">
        <v>526</v>
      </c>
      <c r="L52" s="6" t="s">
        <v>520</v>
      </c>
      <c r="M52" s="6" t="s">
        <v>520</v>
      </c>
      <c r="N52" s="6" t="s">
        <v>521</v>
      </c>
      <c r="O52" s="6" t="s">
        <v>279</v>
      </c>
      <c r="P52" s="6" t="s">
        <v>280</v>
      </c>
      <c r="Q52" s="6"/>
      <c r="R52" s="6" t="s">
        <v>282</v>
      </c>
      <c r="S52" s="6"/>
    </row>
    <row r="53" spans="1:19">
      <c r="A53" s="4" t="s">
        <v>527</v>
      </c>
      <c r="B53" s="5">
        <v>4792</v>
      </c>
      <c r="C53" s="6" t="s">
        <v>62</v>
      </c>
      <c r="D53" s="6" t="s">
        <v>528</v>
      </c>
      <c r="E53" s="6" t="s">
        <v>529</v>
      </c>
      <c r="F53" s="6" t="s">
        <v>530</v>
      </c>
      <c r="G53" s="6" t="s">
        <v>531</v>
      </c>
      <c r="H53" s="6" t="s">
        <v>532</v>
      </c>
      <c r="I53" s="6" t="s">
        <v>533</v>
      </c>
      <c r="J53" s="6" t="s">
        <v>534</v>
      </c>
      <c r="K53" s="6" t="s">
        <v>535</v>
      </c>
      <c r="L53" s="6" t="s">
        <v>528</v>
      </c>
      <c r="M53" s="6" t="s">
        <v>528</v>
      </c>
      <c r="N53" s="6" t="s">
        <v>529</v>
      </c>
      <c r="O53" s="6" t="s">
        <v>536</v>
      </c>
      <c r="P53" s="6" t="s">
        <v>537</v>
      </c>
      <c r="Q53" s="6" t="s">
        <v>538</v>
      </c>
      <c r="R53" s="6" t="s">
        <v>169</v>
      </c>
      <c r="S53" s="7" t="s">
        <v>32</v>
      </c>
    </row>
    <row r="54" spans="1:19">
      <c r="A54" s="4" t="s">
        <v>539</v>
      </c>
      <c r="B54" s="5">
        <v>4504</v>
      </c>
      <c r="C54" s="6" t="s">
        <v>62</v>
      </c>
      <c r="D54" s="6" t="s">
        <v>540</v>
      </c>
      <c r="E54" s="6" t="s">
        <v>541</v>
      </c>
      <c r="F54" s="6" t="s">
        <v>542</v>
      </c>
      <c r="G54" s="6" t="s">
        <v>543</v>
      </c>
      <c r="H54" s="6" t="s">
        <v>544</v>
      </c>
      <c r="I54" s="6" t="s">
        <v>545</v>
      </c>
      <c r="J54" s="6" t="s">
        <v>546</v>
      </c>
      <c r="K54" s="6" t="s">
        <v>542</v>
      </c>
      <c r="L54" s="6" t="s">
        <v>540</v>
      </c>
      <c r="M54" s="6" t="s">
        <v>540</v>
      </c>
      <c r="N54" s="6" t="s">
        <v>541</v>
      </c>
      <c r="O54" s="6" t="s">
        <v>547</v>
      </c>
      <c r="P54" s="6" t="s">
        <v>548</v>
      </c>
      <c r="Q54" s="6"/>
      <c r="R54" s="6" t="s">
        <v>169</v>
      </c>
      <c r="S54" s="7" t="s">
        <v>32</v>
      </c>
    </row>
    <row r="55" spans="1:19">
      <c r="A55" s="4" t="s">
        <v>549</v>
      </c>
      <c r="B55" s="5">
        <v>4245</v>
      </c>
      <c r="C55" s="6" t="s">
        <v>550</v>
      </c>
      <c r="D55" s="6" t="s">
        <v>551</v>
      </c>
      <c r="E55" s="6" t="s">
        <v>552</v>
      </c>
      <c r="F55" s="6" t="s">
        <v>553</v>
      </c>
      <c r="G55" s="6" t="s">
        <v>554</v>
      </c>
      <c r="H55" s="6" t="s">
        <v>555</v>
      </c>
      <c r="I55" s="6" t="s">
        <v>556</v>
      </c>
      <c r="J55" s="6"/>
      <c r="K55" s="6" t="s">
        <v>557</v>
      </c>
      <c r="L55" s="6" t="s">
        <v>551</v>
      </c>
      <c r="M55" s="6" t="s">
        <v>558</v>
      </c>
      <c r="N55" s="6" t="s">
        <v>552</v>
      </c>
      <c r="O55" s="6" t="s">
        <v>279</v>
      </c>
      <c r="P55" s="6" t="s">
        <v>280</v>
      </c>
      <c r="Q55" s="6" t="s">
        <v>559</v>
      </c>
      <c r="R55" s="6" t="s">
        <v>282</v>
      </c>
      <c r="S55" s="6"/>
    </row>
    <row r="56" spans="1:19">
      <c r="A56" s="4" t="s">
        <v>560</v>
      </c>
      <c r="B56" s="5">
        <v>4189</v>
      </c>
      <c r="C56" s="6" t="s">
        <v>269</v>
      </c>
      <c r="D56" s="6" t="s">
        <v>561</v>
      </c>
      <c r="E56" s="6" t="s">
        <v>562</v>
      </c>
      <c r="F56" s="6" t="s">
        <v>563</v>
      </c>
      <c r="G56" s="6" t="s">
        <v>564</v>
      </c>
      <c r="H56" s="6" t="s">
        <v>565</v>
      </c>
      <c r="I56" s="6" t="s">
        <v>566</v>
      </c>
      <c r="J56" s="6"/>
      <c r="K56" s="6" t="s">
        <v>567</v>
      </c>
      <c r="L56" s="6" t="s">
        <v>561</v>
      </c>
      <c r="M56" s="6" t="s">
        <v>561</v>
      </c>
      <c r="N56" s="6" t="s">
        <v>562</v>
      </c>
      <c r="O56" s="6" t="s">
        <v>279</v>
      </c>
      <c r="P56" s="6" t="s">
        <v>280</v>
      </c>
      <c r="Q56" s="6" t="s">
        <v>568</v>
      </c>
      <c r="R56" s="6" t="s">
        <v>282</v>
      </c>
      <c r="S56" s="6"/>
    </row>
    <row r="57" spans="1:19">
      <c r="A57" s="4" t="s">
        <v>569</v>
      </c>
      <c r="B57" s="5">
        <v>4751</v>
      </c>
      <c r="C57" s="6" t="s">
        <v>43</v>
      </c>
      <c r="D57" s="6" t="s">
        <v>570</v>
      </c>
      <c r="E57" s="6" t="s">
        <v>571</v>
      </c>
      <c r="F57" s="6" t="s">
        <v>572</v>
      </c>
      <c r="G57" s="6" t="s">
        <v>573</v>
      </c>
      <c r="H57" s="6" t="s">
        <v>574</v>
      </c>
      <c r="I57" s="6" t="s">
        <v>575</v>
      </c>
      <c r="J57" s="6" t="s">
        <v>576</v>
      </c>
      <c r="K57" s="6" t="s">
        <v>577</v>
      </c>
      <c r="L57" s="6" t="s">
        <v>578</v>
      </c>
      <c r="M57" s="6" t="s">
        <v>578</v>
      </c>
      <c r="N57" s="6" t="s">
        <v>571</v>
      </c>
      <c r="O57" s="6" t="s">
        <v>579</v>
      </c>
      <c r="P57" s="6" t="s">
        <v>580</v>
      </c>
      <c r="Q57" s="6" t="s">
        <v>572</v>
      </c>
      <c r="R57" s="6" t="s">
        <v>169</v>
      </c>
      <c r="S57" s="7" t="s">
        <v>32</v>
      </c>
    </row>
    <row r="58" spans="1:19">
      <c r="A58" s="4" t="s">
        <v>581</v>
      </c>
      <c r="B58" s="5">
        <v>4511</v>
      </c>
      <c r="C58" s="6" t="s">
        <v>20</v>
      </c>
      <c r="D58" s="6" t="s">
        <v>582</v>
      </c>
      <c r="E58" s="6" t="s">
        <v>583</v>
      </c>
      <c r="F58" s="6" t="s">
        <v>584</v>
      </c>
      <c r="G58" s="6" t="s">
        <v>585</v>
      </c>
      <c r="H58" s="6" t="s">
        <v>586</v>
      </c>
      <c r="I58" s="6" t="s">
        <v>587</v>
      </c>
      <c r="J58" s="6"/>
      <c r="K58" s="6"/>
      <c r="L58" s="6" t="s">
        <v>588</v>
      </c>
      <c r="M58" s="6" t="s">
        <v>588</v>
      </c>
      <c r="N58" s="6" t="s">
        <v>583</v>
      </c>
      <c r="O58" s="6" t="s">
        <v>589</v>
      </c>
      <c r="P58" s="6" t="s">
        <v>590</v>
      </c>
      <c r="Q58" s="6" t="s">
        <v>584</v>
      </c>
      <c r="R58" s="6" t="s">
        <v>169</v>
      </c>
      <c r="S58" s="7" t="s">
        <v>32</v>
      </c>
    </row>
    <row r="59" spans="1:19">
      <c r="A59" s="4" t="s">
        <v>591</v>
      </c>
      <c r="B59" s="5">
        <v>4263</v>
      </c>
      <c r="C59" s="6" t="s">
        <v>314</v>
      </c>
      <c r="D59" s="6" t="s">
        <v>592</v>
      </c>
      <c r="E59" s="6" t="s">
        <v>593</v>
      </c>
      <c r="F59" s="6" t="s">
        <v>594</v>
      </c>
      <c r="G59" s="6" t="s">
        <v>595</v>
      </c>
      <c r="H59" s="6" t="s">
        <v>596</v>
      </c>
      <c r="I59" s="6" t="s">
        <v>597</v>
      </c>
      <c r="J59" s="6"/>
      <c r="K59" s="6" t="s">
        <v>598</v>
      </c>
      <c r="L59" s="6" t="s">
        <v>599</v>
      </c>
      <c r="M59" s="6" t="s">
        <v>600</v>
      </c>
      <c r="N59" s="6" t="s">
        <v>601</v>
      </c>
      <c r="O59" s="6" t="s">
        <v>279</v>
      </c>
      <c r="P59" s="6" t="s">
        <v>280</v>
      </c>
      <c r="Q59" s="6" t="s">
        <v>594</v>
      </c>
      <c r="R59" s="6" t="s">
        <v>282</v>
      </c>
      <c r="S59" s="6"/>
    </row>
    <row r="60" spans="1:19">
      <c r="A60" s="4" t="s">
        <v>602</v>
      </c>
      <c r="B60" s="5">
        <v>4542</v>
      </c>
      <c r="C60" s="6" t="s">
        <v>20</v>
      </c>
      <c r="D60" s="10" t="s">
        <v>603</v>
      </c>
      <c r="E60" s="6" t="s">
        <v>604</v>
      </c>
      <c r="F60" s="6" t="s">
        <v>605</v>
      </c>
      <c r="G60" s="6" t="s">
        <v>606</v>
      </c>
      <c r="H60" s="6" t="s">
        <v>607</v>
      </c>
      <c r="I60" s="6" t="s">
        <v>608</v>
      </c>
      <c r="J60" s="6"/>
      <c r="K60" s="6"/>
      <c r="L60" s="6" t="s">
        <v>609</v>
      </c>
      <c r="M60" s="6" t="s">
        <v>609</v>
      </c>
      <c r="N60" s="6" t="s">
        <v>610</v>
      </c>
      <c r="O60" s="6" t="s">
        <v>611</v>
      </c>
      <c r="P60" s="6" t="s">
        <v>612</v>
      </c>
      <c r="Q60" s="6"/>
      <c r="R60" s="6" t="s">
        <v>169</v>
      </c>
      <c r="S60" s="7" t="s">
        <v>32</v>
      </c>
    </row>
    <row r="61" spans="1:19">
      <c r="A61" s="4" t="s">
        <v>613</v>
      </c>
      <c r="B61" s="5">
        <v>4569</v>
      </c>
      <c r="C61" s="6" t="s">
        <v>20</v>
      </c>
      <c r="D61" s="6" t="s">
        <v>614</v>
      </c>
      <c r="E61" s="6" t="s">
        <v>615</v>
      </c>
      <c r="F61" s="6" t="s">
        <v>616</v>
      </c>
      <c r="G61" s="6" t="s">
        <v>617</v>
      </c>
      <c r="H61" s="6" t="s">
        <v>618</v>
      </c>
      <c r="I61" s="6" t="s">
        <v>619</v>
      </c>
      <c r="J61" s="6"/>
      <c r="K61" s="6"/>
      <c r="L61" s="6" t="s">
        <v>614</v>
      </c>
      <c r="M61" s="6" t="s">
        <v>614</v>
      </c>
      <c r="N61" s="6" t="s">
        <v>615</v>
      </c>
      <c r="O61" s="6" t="s">
        <v>620</v>
      </c>
      <c r="P61" s="6" t="s">
        <v>621</v>
      </c>
      <c r="Q61" s="6"/>
      <c r="R61" s="6" t="s">
        <v>169</v>
      </c>
      <c r="S61" s="7" t="s">
        <v>32</v>
      </c>
    </row>
    <row r="62" spans="1:19">
      <c r="A62" s="4" t="s">
        <v>622</v>
      </c>
      <c r="B62" s="5">
        <v>4293</v>
      </c>
      <c r="C62" s="6" t="s">
        <v>550</v>
      </c>
      <c r="D62" s="6" t="s">
        <v>623</v>
      </c>
      <c r="E62" s="6" t="s">
        <v>624</v>
      </c>
      <c r="F62" s="6" t="s">
        <v>625</v>
      </c>
      <c r="G62" s="6" t="s">
        <v>626</v>
      </c>
      <c r="H62" s="6" t="s">
        <v>627</v>
      </c>
      <c r="I62" s="6" t="s">
        <v>628</v>
      </c>
      <c r="J62" s="6"/>
      <c r="K62" s="6" t="s">
        <v>629</v>
      </c>
      <c r="L62" s="6" t="s">
        <v>630</v>
      </c>
      <c r="M62" s="6" t="s">
        <v>631</v>
      </c>
      <c r="N62" s="6" t="s">
        <v>632</v>
      </c>
      <c r="O62" s="6" t="s">
        <v>279</v>
      </c>
      <c r="P62" s="6" t="s">
        <v>280</v>
      </c>
      <c r="Q62" s="6" t="s">
        <v>625</v>
      </c>
      <c r="R62" s="6" t="s">
        <v>282</v>
      </c>
      <c r="S62" s="6"/>
    </row>
    <row r="63" spans="1:19">
      <c r="A63" s="4" t="s">
        <v>633</v>
      </c>
      <c r="B63" s="5">
        <v>4214</v>
      </c>
      <c r="C63" s="6" t="s">
        <v>550</v>
      </c>
      <c r="D63" s="6" t="s">
        <v>634</v>
      </c>
      <c r="E63" s="6" t="s">
        <v>635</v>
      </c>
      <c r="F63" s="6" t="s">
        <v>636</v>
      </c>
      <c r="G63" s="6" t="s">
        <v>637</v>
      </c>
      <c r="H63" s="6" t="s">
        <v>638</v>
      </c>
      <c r="I63" s="6" t="s">
        <v>639</v>
      </c>
      <c r="J63" s="6"/>
      <c r="K63" s="6" t="s">
        <v>640</v>
      </c>
      <c r="L63" s="6" t="s">
        <v>634</v>
      </c>
      <c r="M63" s="6" t="s">
        <v>634</v>
      </c>
      <c r="N63" s="6" t="s">
        <v>635</v>
      </c>
      <c r="O63" s="6" t="s">
        <v>279</v>
      </c>
      <c r="P63" s="6" t="s">
        <v>280</v>
      </c>
      <c r="Q63" s="6"/>
      <c r="R63" s="6" t="s">
        <v>282</v>
      </c>
      <c r="S63" s="6"/>
    </row>
    <row r="64" spans="1:19">
      <c r="A64" s="4" t="s">
        <v>641</v>
      </c>
      <c r="B64" s="5">
        <v>4526</v>
      </c>
      <c r="C64" s="6" t="s">
        <v>62</v>
      </c>
      <c r="D64" s="6" t="s">
        <v>642</v>
      </c>
      <c r="E64" s="6" t="s">
        <v>643</v>
      </c>
      <c r="F64" s="6" t="s">
        <v>644</v>
      </c>
      <c r="G64" s="6" t="s">
        <v>645</v>
      </c>
      <c r="H64" s="6" t="s">
        <v>646</v>
      </c>
      <c r="I64" s="6" t="s">
        <v>647</v>
      </c>
      <c r="J64" s="6"/>
      <c r="K64" s="6"/>
      <c r="L64" s="6" t="s">
        <v>642</v>
      </c>
      <c r="M64" s="6" t="s">
        <v>642</v>
      </c>
      <c r="N64" s="6" t="s">
        <v>643</v>
      </c>
      <c r="O64" s="6" t="s">
        <v>648</v>
      </c>
      <c r="P64" s="6" t="s">
        <v>649</v>
      </c>
      <c r="Q64" s="6"/>
      <c r="R64" s="6" t="s">
        <v>169</v>
      </c>
      <c r="S64" s="7" t="s">
        <v>32</v>
      </c>
    </row>
    <row r="65" spans="1:19">
      <c r="A65" s="4" t="s">
        <v>650</v>
      </c>
      <c r="B65" s="5">
        <v>4605</v>
      </c>
      <c r="C65" s="6" t="s">
        <v>53</v>
      </c>
      <c r="D65" s="6" t="s">
        <v>651</v>
      </c>
      <c r="E65" s="6" t="s">
        <v>652</v>
      </c>
      <c r="F65" s="6" t="s">
        <v>653</v>
      </c>
      <c r="G65" s="6" t="s">
        <v>152</v>
      </c>
      <c r="H65" s="6" t="s">
        <v>153</v>
      </c>
      <c r="I65" s="6" t="s">
        <v>654</v>
      </c>
      <c r="J65" s="6" t="s">
        <v>655</v>
      </c>
      <c r="K65" s="6" t="s">
        <v>656</v>
      </c>
      <c r="L65" s="6" t="s">
        <v>651</v>
      </c>
      <c r="M65" s="6" t="s">
        <v>651</v>
      </c>
      <c r="N65" s="6" t="s">
        <v>652</v>
      </c>
      <c r="O65" s="6" t="s">
        <v>657</v>
      </c>
      <c r="P65" s="6" t="s">
        <v>658</v>
      </c>
      <c r="Q65" s="6" t="s">
        <v>659</v>
      </c>
      <c r="R65" s="6" t="s">
        <v>169</v>
      </c>
      <c r="S65" s="7" t="s">
        <v>32</v>
      </c>
    </row>
    <row r="66" spans="1:19">
      <c r="A66" s="4" t="s">
        <v>660</v>
      </c>
      <c r="B66" s="5">
        <v>4610</v>
      </c>
      <c r="C66" s="6" t="s">
        <v>53</v>
      </c>
      <c r="D66" s="6" t="s">
        <v>661</v>
      </c>
      <c r="E66" s="6" t="s">
        <v>662</v>
      </c>
      <c r="F66" s="6" t="s">
        <v>663</v>
      </c>
      <c r="G66" s="6" t="s">
        <v>152</v>
      </c>
      <c r="H66" s="6" t="s">
        <v>153</v>
      </c>
      <c r="I66" s="6" t="s">
        <v>664</v>
      </c>
      <c r="J66" s="6" t="s">
        <v>665</v>
      </c>
      <c r="K66" s="6"/>
      <c r="L66" s="6" t="s">
        <v>661</v>
      </c>
      <c r="M66" s="6" t="s">
        <v>661</v>
      </c>
      <c r="N66" s="6" t="s">
        <v>662</v>
      </c>
      <c r="O66" s="6" t="s">
        <v>666</v>
      </c>
      <c r="P66" s="6" t="s">
        <v>667</v>
      </c>
      <c r="Q66" s="6" t="s">
        <v>668</v>
      </c>
      <c r="R66" s="6" t="s">
        <v>169</v>
      </c>
      <c r="S66" s="7" t="s">
        <v>32</v>
      </c>
    </row>
    <row r="67" spans="1:19">
      <c r="A67" s="4" t="s">
        <v>669</v>
      </c>
      <c r="B67" s="5">
        <v>4131</v>
      </c>
      <c r="C67" s="6" t="s">
        <v>314</v>
      </c>
      <c r="D67" s="6" t="s">
        <v>670</v>
      </c>
      <c r="E67" s="6" t="s">
        <v>671</v>
      </c>
      <c r="F67" s="6" t="s">
        <v>672</v>
      </c>
      <c r="G67" s="6" t="s">
        <v>673</v>
      </c>
      <c r="H67" s="6" t="s">
        <v>674</v>
      </c>
      <c r="I67" s="6" t="s">
        <v>675</v>
      </c>
      <c r="J67" s="6"/>
      <c r="K67" s="6" t="s">
        <v>676</v>
      </c>
      <c r="L67" s="6" t="s">
        <v>670</v>
      </c>
      <c r="M67" s="6" t="s">
        <v>670</v>
      </c>
      <c r="N67" s="6" t="s">
        <v>671</v>
      </c>
      <c r="O67" s="6" t="s">
        <v>279</v>
      </c>
      <c r="P67" s="6" t="s">
        <v>280</v>
      </c>
      <c r="Q67" s="6"/>
      <c r="R67" s="6" t="s">
        <v>282</v>
      </c>
      <c r="S67" s="6"/>
    </row>
    <row r="68" spans="1:19">
      <c r="A68" s="4" t="s">
        <v>677</v>
      </c>
      <c r="B68" s="5">
        <v>4252</v>
      </c>
      <c r="C68" s="6" t="s">
        <v>314</v>
      </c>
      <c r="D68" s="6" t="s">
        <v>678</v>
      </c>
      <c r="E68" s="6" t="s">
        <v>679</v>
      </c>
      <c r="F68" s="6" t="s">
        <v>680</v>
      </c>
      <c r="G68" s="6" t="s">
        <v>681</v>
      </c>
      <c r="H68" s="6" t="s">
        <v>682</v>
      </c>
      <c r="I68" s="6" t="s">
        <v>683</v>
      </c>
      <c r="J68" s="6"/>
      <c r="K68" s="6" t="s">
        <v>684</v>
      </c>
      <c r="L68" s="6" t="s">
        <v>678</v>
      </c>
      <c r="M68" s="6" t="s">
        <v>678</v>
      </c>
      <c r="N68" s="6" t="s">
        <v>679</v>
      </c>
      <c r="O68" s="6" t="s">
        <v>279</v>
      </c>
      <c r="P68" s="6" t="s">
        <v>280</v>
      </c>
      <c r="Q68" s="6" t="s">
        <v>680</v>
      </c>
      <c r="R68" s="6" t="s">
        <v>282</v>
      </c>
      <c r="S68" s="6"/>
    </row>
    <row r="69" spans="1:19">
      <c r="A69" s="4" t="s">
        <v>685</v>
      </c>
      <c r="B69" s="5">
        <v>4657</v>
      </c>
      <c r="C69" s="6" t="s">
        <v>103</v>
      </c>
      <c r="D69" s="6" t="s">
        <v>686</v>
      </c>
      <c r="E69" s="6" t="s">
        <v>687</v>
      </c>
      <c r="F69" s="6" t="s">
        <v>688</v>
      </c>
      <c r="G69" s="6" t="s">
        <v>689</v>
      </c>
      <c r="H69" s="6" t="s">
        <v>690</v>
      </c>
      <c r="I69" s="6" t="s">
        <v>691</v>
      </c>
      <c r="J69" s="6"/>
      <c r="K69" s="6"/>
      <c r="L69" s="6" t="s">
        <v>686</v>
      </c>
      <c r="M69" s="6" t="s">
        <v>686</v>
      </c>
      <c r="N69" s="6" t="s">
        <v>687</v>
      </c>
      <c r="O69" s="6" t="s">
        <v>692</v>
      </c>
      <c r="P69" s="6" t="s">
        <v>693</v>
      </c>
      <c r="Q69" s="6" t="s">
        <v>694</v>
      </c>
      <c r="R69" s="6" t="s">
        <v>169</v>
      </c>
      <c r="S69" s="7" t="s">
        <v>32</v>
      </c>
    </row>
    <row r="70" spans="1:19">
      <c r="A70" s="4" t="s">
        <v>695</v>
      </c>
      <c r="B70" s="5">
        <v>4119</v>
      </c>
      <c r="C70" s="6" t="s">
        <v>314</v>
      </c>
      <c r="D70" s="6" t="s">
        <v>696</v>
      </c>
      <c r="E70" s="6" t="s">
        <v>697</v>
      </c>
      <c r="F70" s="6" t="s">
        <v>698</v>
      </c>
      <c r="G70" s="6" t="s">
        <v>699</v>
      </c>
      <c r="H70" s="6" t="s">
        <v>700</v>
      </c>
      <c r="I70" s="6" t="s">
        <v>701</v>
      </c>
      <c r="J70" s="6"/>
      <c r="K70" s="6" t="s">
        <v>702</v>
      </c>
      <c r="L70" s="6" t="s">
        <v>696</v>
      </c>
      <c r="M70" s="6" t="s">
        <v>696</v>
      </c>
      <c r="N70" s="6" t="s">
        <v>697</v>
      </c>
      <c r="O70" s="6" t="s">
        <v>279</v>
      </c>
      <c r="P70" s="6" t="s">
        <v>280</v>
      </c>
      <c r="Q70" s="6" t="s">
        <v>703</v>
      </c>
      <c r="R70" s="6" t="s">
        <v>282</v>
      </c>
      <c r="S70" s="6"/>
    </row>
    <row r="71" spans="1:19">
      <c r="A71" s="4" t="s">
        <v>704</v>
      </c>
      <c r="B71" s="5">
        <v>4230</v>
      </c>
      <c r="C71" s="6" t="s">
        <v>314</v>
      </c>
      <c r="D71" s="6" t="s">
        <v>705</v>
      </c>
      <c r="E71" s="6" t="s">
        <v>706</v>
      </c>
      <c r="F71" s="6" t="s">
        <v>707</v>
      </c>
      <c r="G71" s="6" t="s">
        <v>708</v>
      </c>
      <c r="H71" s="6" t="s">
        <v>709</v>
      </c>
      <c r="I71" s="6" t="s">
        <v>710</v>
      </c>
      <c r="J71" s="6"/>
      <c r="K71" s="6" t="s">
        <v>711</v>
      </c>
      <c r="L71" s="6" t="s">
        <v>705</v>
      </c>
      <c r="M71" s="6" t="s">
        <v>712</v>
      </c>
      <c r="N71" s="6" t="s">
        <v>713</v>
      </c>
      <c r="O71" s="6" t="s">
        <v>279</v>
      </c>
      <c r="P71" s="6" t="s">
        <v>280</v>
      </c>
      <c r="Q71" s="6"/>
      <c r="R71" s="6" t="s">
        <v>282</v>
      </c>
      <c r="S71" s="6"/>
    </row>
    <row r="72" spans="1:19">
      <c r="A72" s="4" t="s">
        <v>714</v>
      </c>
      <c r="B72" s="5">
        <v>4111</v>
      </c>
      <c r="C72" s="6" t="s">
        <v>314</v>
      </c>
      <c r="D72" s="6" t="s">
        <v>715</v>
      </c>
      <c r="E72" s="6" t="s">
        <v>716</v>
      </c>
      <c r="F72" s="6" t="s">
        <v>717</v>
      </c>
      <c r="G72" s="6" t="s">
        <v>718</v>
      </c>
      <c r="H72" s="6" t="s">
        <v>719</v>
      </c>
      <c r="I72" s="6" t="s">
        <v>720</v>
      </c>
      <c r="J72" s="6"/>
      <c r="K72" s="6" t="s">
        <v>721</v>
      </c>
      <c r="L72" s="6" t="s">
        <v>715</v>
      </c>
      <c r="M72" s="6" t="s">
        <v>715</v>
      </c>
      <c r="N72" s="6" t="s">
        <v>716</v>
      </c>
      <c r="O72" s="13" t="s">
        <v>279</v>
      </c>
      <c r="P72" s="13" t="s">
        <v>280</v>
      </c>
      <c r="Q72" s="14" t="s">
        <v>722</v>
      </c>
      <c r="R72" s="6" t="s">
        <v>282</v>
      </c>
      <c r="S72" s="6"/>
    </row>
    <row r="73" spans="1:19">
      <c r="A73" s="4" t="s">
        <v>723</v>
      </c>
      <c r="B73" s="5">
        <v>4674</v>
      </c>
      <c r="C73" s="6" t="s">
        <v>20</v>
      </c>
      <c r="D73" s="6" t="s">
        <v>724</v>
      </c>
      <c r="E73" s="6" t="s">
        <v>725</v>
      </c>
      <c r="F73" s="6" t="s">
        <v>726</v>
      </c>
      <c r="G73" s="6" t="s">
        <v>727</v>
      </c>
      <c r="H73" s="6" t="s">
        <v>728</v>
      </c>
      <c r="I73" s="6" t="s">
        <v>729</v>
      </c>
      <c r="J73" s="6"/>
      <c r="K73" s="6"/>
      <c r="L73" s="6" t="s">
        <v>724</v>
      </c>
      <c r="M73" s="6" t="s">
        <v>730</v>
      </c>
      <c r="N73" s="6" t="s">
        <v>725</v>
      </c>
      <c r="O73" s="6" t="s">
        <v>731</v>
      </c>
      <c r="P73" s="6" t="s">
        <v>732</v>
      </c>
      <c r="Q73" s="6"/>
      <c r="R73" s="6" t="s">
        <v>169</v>
      </c>
      <c r="S73" s="7" t="s">
        <v>32</v>
      </c>
    </row>
    <row r="74" spans="1:19">
      <c r="A74" s="4" t="s">
        <v>733</v>
      </c>
      <c r="B74" s="5">
        <v>4208</v>
      </c>
      <c r="C74" s="6" t="s">
        <v>550</v>
      </c>
      <c r="D74" s="6" t="s">
        <v>734</v>
      </c>
      <c r="E74" s="6" t="s">
        <v>735</v>
      </c>
      <c r="F74" s="6" t="s">
        <v>736</v>
      </c>
      <c r="G74" s="6" t="s">
        <v>737</v>
      </c>
      <c r="H74" s="6" t="s">
        <v>738</v>
      </c>
      <c r="I74" s="6" t="s">
        <v>739</v>
      </c>
      <c r="J74" s="6"/>
      <c r="K74" s="6" t="s">
        <v>740</v>
      </c>
      <c r="L74" s="6" t="s">
        <v>741</v>
      </c>
      <c r="M74" s="6" t="s">
        <v>734</v>
      </c>
      <c r="N74" s="6" t="s">
        <v>735</v>
      </c>
      <c r="O74" s="6" t="s">
        <v>279</v>
      </c>
      <c r="P74" s="6" t="s">
        <v>280</v>
      </c>
      <c r="Q74" s="6"/>
      <c r="R74" s="6" t="s">
        <v>282</v>
      </c>
      <c r="S74" s="6"/>
    </row>
    <row r="75" spans="1:19">
      <c r="A75" s="4" t="s">
        <v>742</v>
      </c>
      <c r="B75" s="5">
        <v>4207</v>
      </c>
      <c r="C75" s="6" t="s">
        <v>550</v>
      </c>
      <c r="D75" s="6" t="s">
        <v>743</v>
      </c>
      <c r="E75" s="6" t="s">
        <v>744</v>
      </c>
      <c r="F75" s="6" t="s">
        <v>745</v>
      </c>
      <c r="G75" s="6" t="s">
        <v>746</v>
      </c>
      <c r="H75" s="6" t="s">
        <v>747</v>
      </c>
      <c r="I75" s="6" t="s">
        <v>748</v>
      </c>
      <c r="J75" s="6"/>
      <c r="K75" s="6" t="s">
        <v>749</v>
      </c>
      <c r="L75" s="6" t="s">
        <v>743</v>
      </c>
      <c r="M75" s="6" t="s">
        <v>750</v>
      </c>
      <c r="N75" s="6" t="s">
        <v>744</v>
      </c>
      <c r="O75" s="6" t="s">
        <v>279</v>
      </c>
      <c r="P75" s="6" t="s">
        <v>280</v>
      </c>
      <c r="Q75" s="6"/>
      <c r="R75" s="6" t="s">
        <v>282</v>
      </c>
      <c r="S75" s="6"/>
    </row>
    <row r="76" spans="1:19">
      <c r="A76" s="4" t="s">
        <v>751</v>
      </c>
      <c r="B76" s="5">
        <v>4534</v>
      </c>
      <c r="C76" s="6" t="s">
        <v>20</v>
      </c>
      <c r="D76" s="6" t="s">
        <v>752</v>
      </c>
      <c r="E76" s="6" t="s">
        <v>753</v>
      </c>
      <c r="F76" s="6" t="s">
        <v>754</v>
      </c>
      <c r="G76" s="6" t="s">
        <v>755</v>
      </c>
      <c r="H76" s="6" t="s">
        <v>756</v>
      </c>
      <c r="I76" s="6" t="s">
        <v>757</v>
      </c>
      <c r="J76" s="6"/>
      <c r="K76" s="6"/>
      <c r="L76" s="6" t="s">
        <v>752</v>
      </c>
      <c r="M76" s="6" t="s">
        <v>752</v>
      </c>
      <c r="N76" s="6" t="s">
        <v>753</v>
      </c>
      <c r="O76" s="6" t="s">
        <v>758</v>
      </c>
      <c r="P76" s="6" t="s">
        <v>759</v>
      </c>
      <c r="Q76" s="6"/>
      <c r="R76" s="6" t="s">
        <v>169</v>
      </c>
      <c r="S76" s="7" t="s">
        <v>32</v>
      </c>
    </row>
    <row r="77" spans="1:19">
      <c r="A77" s="4" t="s">
        <v>760</v>
      </c>
      <c r="B77" s="5">
        <v>4755</v>
      </c>
      <c r="C77" s="6" t="s">
        <v>103</v>
      </c>
      <c r="D77" s="6" t="s">
        <v>761</v>
      </c>
      <c r="E77" s="6" t="s">
        <v>762</v>
      </c>
      <c r="F77" s="6" t="s">
        <v>763</v>
      </c>
      <c r="G77" s="6" t="s">
        <v>764</v>
      </c>
      <c r="H77" s="6" t="s">
        <v>765</v>
      </c>
      <c r="I77" s="6" t="s">
        <v>766</v>
      </c>
      <c r="J77" s="6"/>
      <c r="K77" s="6" t="s">
        <v>767</v>
      </c>
      <c r="L77" s="6" t="s">
        <v>768</v>
      </c>
      <c r="M77" s="6" t="s">
        <v>761</v>
      </c>
      <c r="N77" s="6" t="s">
        <v>762</v>
      </c>
      <c r="O77" s="6" t="s">
        <v>769</v>
      </c>
      <c r="P77" s="6" t="s">
        <v>770</v>
      </c>
      <c r="Q77" s="6" t="s">
        <v>763</v>
      </c>
      <c r="R77" s="6" t="s">
        <v>169</v>
      </c>
      <c r="S77" s="7" t="s">
        <v>32</v>
      </c>
    </row>
    <row r="78" spans="1:19">
      <c r="A78" s="4" t="s">
        <v>771</v>
      </c>
      <c r="B78" s="5">
        <v>4535</v>
      </c>
      <c r="C78" s="6" t="s">
        <v>20</v>
      </c>
      <c r="D78" s="6" t="s">
        <v>772</v>
      </c>
      <c r="E78" s="6" t="s">
        <v>773</v>
      </c>
      <c r="F78" s="6" t="s">
        <v>774</v>
      </c>
      <c r="G78" s="6" t="s">
        <v>775</v>
      </c>
      <c r="H78" s="6" t="s">
        <v>776</v>
      </c>
      <c r="I78" s="6" t="s">
        <v>777</v>
      </c>
      <c r="J78" s="6"/>
      <c r="K78" s="6"/>
      <c r="L78" s="6" t="s">
        <v>772</v>
      </c>
      <c r="M78" s="6" t="s">
        <v>772</v>
      </c>
      <c r="N78" s="6" t="s">
        <v>773</v>
      </c>
      <c r="O78" s="6" t="s">
        <v>778</v>
      </c>
      <c r="P78" s="6" t="s">
        <v>779</v>
      </c>
      <c r="Q78" s="6" t="s">
        <v>774</v>
      </c>
      <c r="R78" s="6" t="s">
        <v>169</v>
      </c>
      <c r="S78" s="7" t="s">
        <v>32</v>
      </c>
    </row>
    <row r="79" spans="1:19">
      <c r="A79" s="4" t="s">
        <v>780</v>
      </c>
      <c r="B79" s="5">
        <v>4604</v>
      </c>
      <c r="C79" s="6" t="s">
        <v>20</v>
      </c>
      <c r="D79" s="6" t="s">
        <v>781</v>
      </c>
      <c r="E79" s="6" t="s">
        <v>782</v>
      </c>
      <c r="F79" s="6" t="s">
        <v>783</v>
      </c>
      <c r="G79" s="6" t="s">
        <v>784</v>
      </c>
      <c r="H79" s="6" t="s">
        <v>785</v>
      </c>
      <c r="I79" s="6" t="s">
        <v>786</v>
      </c>
      <c r="J79" s="6"/>
      <c r="K79" s="6"/>
      <c r="L79" s="6" t="s">
        <v>781</v>
      </c>
      <c r="M79" s="6" t="s">
        <v>781</v>
      </c>
      <c r="N79" s="6" t="s">
        <v>782</v>
      </c>
      <c r="O79" s="6" t="s">
        <v>787</v>
      </c>
      <c r="P79" s="6" t="s">
        <v>788</v>
      </c>
      <c r="Q79" s="6"/>
      <c r="R79" s="6" t="s">
        <v>169</v>
      </c>
      <c r="S79" s="7" t="s">
        <v>32</v>
      </c>
    </row>
    <row r="80" spans="1:19">
      <c r="A80" s="4" t="s">
        <v>789</v>
      </c>
      <c r="B80" s="5">
        <v>4537</v>
      </c>
      <c r="C80" s="6" t="s">
        <v>103</v>
      </c>
      <c r="D80" s="6" t="s">
        <v>790</v>
      </c>
      <c r="E80" s="6" t="s">
        <v>791</v>
      </c>
      <c r="F80" s="6" t="s">
        <v>792</v>
      </c>
      <c r="G80" s="6" t="s">
        <v>793</v>
      </c>
      <c r="H80" s="6" t="s">
        <v>794</v>
      </c>
      <c r="I80" s="6" t="s">
        <v>795</v>
      </c>
      <c r="J80" s="6"/>
      <c r="K80" s="6"/>
      <c r="L80" s="6" t="s">
        <v>796</v>
      </c>
      <c r="M80" s="6" t="s">
        <v>796</v>
      </c>
      <c r="N80" s="6" t="s">
        <v>791</v>
      </c>
      <c r="O80" s="6" t="s">
        <v>797</v>
      </c>
      <c r="P80" s="6" t="s">
        <v>798</v>
      </c>
      <c r="Q80" s="6"/>
      <c r="R80" s="6" t="s">
        <v>169</v>
      </c>
      <c r="S80" s="7" t="s">
        <v>32</v>
      </c>
    </row>
    <row r="81" spans="1:19">
      <c r="A81" s="4" t="s">
        <v>799</v>
      </c>
      <c r="B81" s="5">
        <v>4727</v>
      </c>
      <c r="C81" s="6" t="s">
        <v>20</v>
      </c>
      <c r="D81" s="6" t="s">
        <v>800</v>
      </c>
      <c r="E81" s="6" t="s">
        <v>801</v>
      </c>
      <c r="F81" s="6" t="s">
        <v>802</v>
      </c>
      <c r="G81" s="6" t="s">
        <v>803</v>
      </c>
      <c r="H81" s="6" t="s">
        <v>804</v>
      </c>
      <c r="I81" s="6" t="s">
        <v>805</v>
      </c>
      <c r="J81" s="6"/>
      <c r="K81" s="6"/>
      <c r="L81" s="6" t="s">
        <v>800</v>
      </c>
      <c r="M81" s="6" t="s">
        <v>800</v>
      </c>
      <c r="N81" s="6" t="s">
        <v>801</v>
      </c>
      <c r="O81" s="6" t="s">
        <v>806</v>
      </c>
      <c r="P81" s="6" t="s">
        <v>807</v>
      </c>
      <c r="Q81" s="6"/>
      <c r="R81" s="6" t="s">
        <v>169</v>
      </c>
      <c r="S81" s="7" t="s">
        <v>32</v>
      </c>
    </row>
    <row r="82" spans="1:19">
      <c r="A82" s="4" t="s">
        <v>808</v>
      </c>
      <c r="B82" s="5">
        <v>4681</v>
      </c>
      <c r="C82" s="6" t="s">
        <v>20</v>
      </c>
      <c r="D82" s="6" t="s">
        <v>809</v>
      </c>
      <c r="E82" s="6" t="s">
        <v>810</v>
      </c>
      <c r="F82" s="6" t="s">
        <v>811</v>
      </c>
      <c r="G82" s="6" t="s">
        <v>803</v>
      </c>
      <c r="H82" s="6" t="s">
        <v>804</v>
      </c>
      <c r="I82" s="6" t="s">
        <v>805</v>
      </c>
      <c r="J82" s="6" t="s">
        <v>812</v>
      </c>
      <c r="K82" s="6" t="s">
        <v>813</v>
      </c>
      <c r="L82" s="6" t="s">
        <v>809</v>
      </c>
      <c r="M82" s="6" t="s">
        <v>809</v>
      </c>
      <c r="N82" s="6" t="s">
        <v>810</v>
      </c>
      <c r="O82" s="6" t="s">
        <v>814</v>
      </c>
      <c r="P82" s="6" t="s">
        <v>815</v>
      </c>
      <c r="Q82" s="6" t="s">
        <v>816</v>
      </c>
      <c r="R82" s="6" t="s">
        <v>169</v>
      </c>
      <c r="S82" s="7" t="s">
        <v>32</v>
      </c>
    </row>
    <row r="83" spans="1:19">
      <c r="A83" s="4" t="s">
        <v>817</v>
      </c>
      <c r="B83" s="5">
        <v>4676</v>
      </c>
      <c r="C83" s="6" t="s">
        <v>20</v>
      </c>
      <c r="D83" s="6" t="s">
        <v>818</v>
      </c>
      <c r="E83" s="6" t="s">
        <v>819</v>
      </c>
      <c r="F83" s="6" t="s">
        <v>820</v>
      </c>
      <c r="G83" s="6" t="s">
        <v>821</v>
      </c>
      <c r="H83" s="6" t="s">
        <v>822</v>
      </c>
      <c r="I83" s="6" t="s">
        <v>823</v>
      </c>
      <c r="J83" s="6"/>
      <c r="K83" s="6"/>
      <c r="L83" s="6" t="s">
        <v>818</v>
      </c>
      <c r="M83" s="6" t="s">
        <v>818</v>
      </c>
      <c r="N83" s="6" t="s">
        <v>819</v>
      </c>
      <c r="O83" s="6" t="s">
        <v>824</v>
      </c>
      <c r="P83" s="6" t="s">
        <v>825</v>
      </c>
      <c r="Q83" s="6" t="s">
        <v>820</v>
      </c>
      <c r="R83" s="6" t="s">
        <v>169</v>
      </c>
      <c r="S83" s="7" t="s">
        <v>32</v>
      </c>
    </row>
    <row r="84" spans="1:19">
      <c r="A84" s="4" t="s">
        <v>826</v>
      </c>
      <c r="B84" s="5">
        <v>4716</v>
      </c>
      <c r="C84" s="6" t="s">
        <v>20</v>
      </c>
      <c r="D84" s="6" t="s">
        <v>827</v>
      </c>
      <c r="E84" s="6" t="s">
        <v>828</v>
      </c>
      <c r="F84" s="6" t="s">
        <v>829</v>
      </c>
      <c r="G84" s="6" t="s">
        <v>821</v>
      </c>
      <c r="H84" s="6" t="s">
        <v>830</v>
      </c>
      <c r="I84" s="6" t="s">
        <v>823</v>
      </c>
      <c r="J84" s="6"/>
      <c r="K84" s="6"/>
      <c r="L84" s="6" t="s">
        <v>827</v>
      </c>
      <c r="M84" s="6" t="s">
        <v>827</v>
      </c>
      <c r="N84" s="6" t="s">
        <v>828</v>
      </c>
      <c r="O84" s="6" t="s">
        <v>831</v>
      </c>
      <c r="P84" s="6" t="s">
        <v>832</v>
      </c>
      <c r="Q84" s="6"/>
      <c r="R84" s="6" t="s">
        <v>169</v>
      </c>
      <c r="S84" s="7" t="s">
        <v>32</v>
      </c>
    </row>
    <row r="85" spans="1:19">
      <c r="A85" s="4" t="s">
        <v>833</v>
      </c>
      <c r="B85" s="5">
        <v>4673</v>
      </c>
      <c r="C85" s="6" t="s">
        <v>103</v>
      </c>
      <c r="D85" s="6" t="s">
        <v>834</v>
      </c>
      <c r="E85" s="6" t="s">
        <v>835</v>
      </c>
      <c r="F85" s="6" t="s">
        <v>836</v>
      </c>
      <c r="G85" s="6" t="s">
        <v>837</v>
      </c>
      <c r="H85" s="6" t="s">
        <v>838</v>
      </c>
      <c r="I85" s="6" t="s">
        <v>839</v>
      </c>
      <c r="J85" s="6"/>
      <c r="K85" s="6"/>
      <c r="L85" s="6" t="s">
        <v>834</v>
      </c>
      <c r="M85" s="6" t="s">
        <v>834</v>
      </c>
      <c r="N85" s="6" t="s">
        <v>835</v>
      </c>
      <c r="O85" s="6" t="s">
        <v>840</v>
      </c>
      <c r="P85" s="6" t="s">
        <v>841</v>
      </c>
      <c r="Q85" s="6"/>
      <c r="R85" s="6" t="s">
        <v>169</v>
      </c>
      <c r="S85" s="7" t="s">
        <v>32</v>
      </c>
    </row>
    <row r="86" spans="1:19">
      <c r="A86" s="4" t="s">
        <v>842</v>
      </c>
      <c r="B86" s="5">
        <v>4142</v>
      </c>
      <c r="C86" s="6" t="s">
        <v>314</v>
      </c>
      <c r="D86" s="6" t="s">
        <v>843</v>
      </c>
      <c r="E86" s="6" t="s">
        <v>844</v>
      </c>
      <c r="F86" s="6" t="s">
        <v>845</v>
      </c>
      <c r="G86" s="6" t="s">
        <v>846</v>
      </c>
      <c r="H86" s="6" t="s">
        <v>847</v>
      </c>
      <c r="I86" s="6" t="s">
        <v>848</v>
      </c>
      <c r="J86" s="6"/>
      <c r="K86" s="6" t="s">
        <v>849</v>
      </c>
      <c r="L86" s="6" t="s">
        <v>850</v>
      </c>
      <c r="M86" s="6" t="s">
        <v>851</v>
      </c>
      <c r="N86" s="6" t="s">
        <v>844</v>
      </c>
      <c r="O86" s="6" t="s">
        <v>279</v>
      </c>
      <c r="P86" s="6" t="s">
        <v>280</v>
      </c>
      <c r="Q86" s="6" t="s">
        <v>845</v>
      </c>
      <c r="R86" s="6" t="s">
        <v>282</v>
      </c>
      <c r="S86" s="6"/>
    </row>
    <row r="87" spans="1:19">
      <c r="A87" s="4" t="s">
        <v>852</v>
      </c>
      <c r="B87" s="5">
        <v>4779</v>
      </c>
      <c r="C87" s="6" t="s">
        <v>397</v>
      </c>
      <c r="D87" s="6" t="s">
        <v>853</v>
      </c>
      <c r="E87" s="6" t="s">
        <v>854</v>
      </c>
      <c r="F87" s="6" t="s">
        <v>855</v>
      </c>
      <c r="G87" s="6" t="s">
        <v>856</v>
      </c>
      <c r="H87" s="6" t="s">
        <v>857</v>
      </c>
      <c r="I87" s="6" t="s">
        <v>858</v>
      </c>
      <c r="J87" s="6"/>
      <c r="K87" s="6" t="s">
        <v>857</v>
      </c>
      <c r="L87" s="6" t="s">
        <v>853</v>
      </c>
      <c r="M87" s="6" t="s">
        <v>853</v>
      </c>
      <c r="N87" s="6" t="s">
        <v>854</v>
      </c>
      <c r="O87" s="6" t="s">
        <v>859</v>
      </c>
      <c r="P87" s="6" t="s">
        <v>860</v>
      </c>
      <c r="Q87" s="6"/>
      <c r="R87" s="6" t="s">
        <v>207</v>
      </c>
      <c r="S87" s="6"/>
    </row>
    <row r="88" spans="1:19">
      <c r="A88" s="4" t="s">
        <v>861</v>
      </c>
      <c r="B88" s="5">
        <v>4697</v>
      </c>
      <c r="C88" s="6" t="s">
        <v>53</v>
      </c>
      <c r="D88" s="6" t="s">
        <v>862</v>
      </c>
      <c r="E88" s="6" t="s">
        <v>863</v>
      </c>
      <c r="F88" s="6" t="s">
        <v>864</v>
      </c>
      <c r="G88" s="6" t="s">
        <v>865</v>
      </c>
      <c r="H88" s="6" t="s">
        <v>866</v>
      </c>
      <c r="I88" s="6" t="s">
        <v>867</v>
      </c>
      <c r="J88" s="6" t="s">
        <v>868</v>
      </c>
      <c r="K88" s="6"/>
      <c r="L88" s="6" t="s">
        <v>862</v>
      </c>
      <c r="M88" s="6" t="s">
        <v>862</v>
      </c>
      <c r="N88" s="6" t="s">
        <v>863</v>
      </c>
      <c r="O88" s="6" t="s">
        <v>869</v>
      </c>
      <c r="P88" s="6" t="s">
        <v>870</v>
      </c>
      <c r="Q88" s="6" t="s">
        <v>871</v>
      </c>
      <c r="R88" s="6" t="s">
        <v>169</v>
      </c>
      <c r="S88" s="7" t="s">
        <v>32</v>
      </c>
    </row>
    <row r="89" spans="1:19">
      <c r="A89" s="4" t="s">
        <v>872</v>
      </c>
      <c r="B89" s="5">
        <v>4228</v>
      </c>
      <c r="C89" s="6" t="s">
        <v>305</v>
      </c>
      <c r="D89" s="6" t="s">
        <v>873</v>
      </c>
      <c r="E89" s="6" t="s">
        <v>874</v>
      </c>
      <c r="F89" s="6" t="s">
        <v>875</v>
      </c>
      <c r="G89" s="6" t="s">
        <v>876</v>
      </c>
      <c r="H89" s="6" t="s">
        <v>877</v>
      </c>
      <c r="I89" s="6" t="s">
        <v>878</v>
      </c>
      <c r="J89" s="6"/>
      <c r="K89" s="6" t="s">
        <v>879</v>
      </c>
      <c r="L89" s="6" t="s">
        <v>873</v>
      </c>
      <c r="M89" s="6" t="s">
        <v>873</v>
      </c>
      <c r="N89" s="6" t="s">
        <v>874</v>
      </c>
      <c r="O89" s="6" t="s">
        <v>279</v>
      </c>
      <c r="P89" s="6" t="s">
        <v>880</v>
      </c>
      <c r="Q89" s="6" t="s">
        <v>881</v>
      </c>
      <c r="R89" s="6" t="s">
        <v>282</v>
      </c>
      <c r="S89" s="6"/>
    </row>
    <row r="90" spans="1:19">
      <c r="A90" s="4" t="s">
        <v>882</v>
      </c>
      <c r="B90" s="5">
        <v>4545</v>
      </c>
      <c r="C90" s="6" t="s">
        <v>103</v>
      </c>
      <c r="D90" s="6" t="s">
        <v>883</v>
      </c>
      <c r="E90" s="6" t="s">
        <v>105</v>
      </c>
      <c r="F90" s="6" t="s">
        <v>884</v>
      </c>
      <c r="G90" s="6" t="s">
        <v>885</v>
      </c>
      <c r="H90" s="6" t="s">
        <v>886</v>
      </c>
      <c r="I90" s="6" t="s">
        <v>887</v>
      </c>
      <c r="J90" s="6"/>
      <c r="K90" s="6"/>
      <c r="L90" s="6" t="s">
        <v>883</v>
      </c>
      <c r="M90" s="6" t="s">
        <v>883</v>
      </c>
      <c r="N90" s="6" t="s">
        <v>105</v>
      </c>
      <c r="O90" s="6" t="s">
        <v>888</v>
      </c>
      <c r="P90" s="6" t="s">
        <v>889</v>
      </c>
      <c r="Q90" s="6" t="s">
        <v>890</v>
      </c>
      <c r="R90" s="6" t="s">
        <v>169</v>
      </c>
      <c r="S90" s="7" t="s">
        <v>32</v>
      </c>
    </row>
    <row r="91" spans="1:19">
      <c r="A91" s="4" t="s">
        <v>891</v>
      </c>
      <c r="B91" s="5">
        <v>4552</v>
      </c>
      <c r="C91" s="6" t="s">
        <v>43</v>
      </c>
      <c r="D91" s="6" t="s">
        <v>892</v>
      </c>
      <c r="E91" s="6" t="s">
        <v>893</v>
      </c>
      <c r="F91" s="6" t="s">
        <v>894</v>
      </c>
      <c r="G91" s="6" t="s">
        <v>895</v>
      </c>
      <c r="H91" s="6" t="s">
        <v>896</v>
      </c>
      <c r="I91" s="6" t="s">
        <v>897</v>
      </c>
      <c r="J91" s="6"/>
      <c r="K91" s="6"/>
      <c r="L91" s="6" t="s">
        <v>892</v>
      </c>
      <c r="M91" s="6" t="s">
        <v>892</v>
      </c>
      <c r="N91" s="6" t="s">
        <v>893</v>
      </c>
      <c r="O91" s="6" t="s">
        <v>898</v>
      </c>
      <c r="P91" s="6" t="s">
        <v>899</v>
      </c>
      <c r="Q91" s="6" t="s">
        <v>894</v>
      </c>
      <c r="R91" s="6" t="s">
        <v>169</v>
      </c>
      <c r="S91" s="7" t="s">
        <v>32</v>
      </c>
    </row>
    <row r="92" spans="1:19">
      <c r="A92" s="4" t="s">
        <v>900</v>
      </c>
      <c r="B92" s="5">
        <v>4193</v>
      </c>
      <c r="C92" s="6" t="s">
        <v>305</v>
      </c>
      <c r="D92" s="6" t="s">
        <v>901</v>
      </c>
      <c r="E92" s="6" t="s">
        <v>902</v>
      </c>
      <c r="F92" s="6" t="s">
        <v>903</v>
      </c>
      <c r="G92" s="6" t="s">
        <v>904</v>
      </c>
      <c r="H92" s="6" t="s">
        <v>905</v>
      </c>
      <c r="I92" s="6" t="s">
        <v>906</v>
      </c>
      <c r="J92" s="6"/>
      <c r="K92" s="6" t="s">
        <v>907</v>
      </c>
      <c r="L92" s="6" t="s">
        <v>901</v>
      </c>
      <c r="M92" s="6" t="s">
        <v>901</v>
      </c>
      <c r="N92" s="6" t="s">
        <v>902</v>
      </c>
      <c r="O92" s="6" t="s">
        <v>279</v>
      </c>
      <c r="P92" s="6" t="s">
        <v>280</v>
      </c>
      <c r="Q92" s="6" t="s">
        <v>908</v>
      </c>
      <c r="R92" s="6" t="s">
        <v>282</v>
      </c>
      <c r="S92" s="6"/>
    </row>
    <row r="93" spans="1:19">
      <c r="A93" s="4" t="s">
        <v>909</v>
      </c>
      <c r="B93" s="5">
        <v>4277</v>
      </c>
      <c r="C93" s="6" t="s">
        <v>305</v>
      </c>
      <c r="D93" s="6" t="s">
        <v>910</v>
      </c>
      <c r="E93" s="6" t="s">
        <v>911</v>
      </c>
      <c r="F93" s="6" t="s">
        <v>912</v>
      </c>
      <c r="G93" s="6" t="s">
        <v>913</v>
      </c>
      <c r="H93" s="6" t="s">
        <v>914</v>
      </c>
      <c r="I93" s="6" t="s">
        <v>915</v>
      </c>
      <c r="J93" s="6"/>
      <c r="K93" s="6" t="s">
        <v>916</v>
      </c>
      <c r="L93" s="6" t="s">
        <v>910</v>
      </c>
      <c r="M93" s="6" t="s">
        <v>910</v>
      </c>
      <c r="N93" s="6" t="s">
        <v>911</v>
      </c>
      <c r="O93" s="6" t="s">
        <v>279</v>
      </c>
      <c r="P93" s="6" t="s">
        <v>280</v>
      </c>
      <c r="Q93" s="6" t="s">
        <v>917</v>
      </c>
      <c r="R93" s="6" t="s">
        <v>282</v>
      </c>
      <c r="S93" s="6"/>
    </row>
    <row r="94" spans="1:19">
      <c r="A94" s="4" t="s">
        <v>918</v>
      </c>
      <c r="B94" s="5">
        <v>4225</v>
      </c>
      <c r="C94" s="6" t="s">
        <v>305</v>
      </c>
      <c r="D94" s="6" t="s">
        <v>919</v>
      </c>
      <c r="E94" s="6" t="s">
        <v>920</v>
      </c>
      <c r="F94" s="6" t="s">
        <v>921</v>
      </c>
      <c r="G94" s="6" t="s">
        <v>922</v>
      </c>
      <c r="H94" s="6" t="s">
        <v>923</v>
      </c>
      <c r="I94" s="6" t="s">
        <v>924</v>
      </c>
      <c r="J94" s="6"/>
      <c r="K94" s="6" t="s">
        <v>925</v>
      </c>
      <c r="L94" s="6" t="s">
        <v>919</v>
      </c>
      <c r="M94" s="6" t="s">
        <v>919</v>
      </c>
      <c r="N94" s="6" t="s">
        <v>920</v>
      </c>
      <c r="O94" s="6" t="s">
        <v>279</v>
      </c>
      <c r="P94" s="6" t="s">
        <v>280</v>
      </c>
      <c r="Q94" s="6"/>
      <c r="R94" s="6" t="s">
        <v>282</v>
      </c>
      <c r="S94" s="6"/>
    </row>
    <row r="95" spans="1:19">
      <c r="A95" s="4" t="s">
        <v>926</v>
      </c>
      <c r="B95" s="5">
        <v>4701</v>
      </c>
      <c r="C95" s="6" t="s">
        <v>43</v>
      </c>
      <c r="D95" s="6" t="s">
        <v>927</v>
      </c>
      <c r="E95" s="6" t="s">
        <v>928</v>
      </c>
      <c r="F95" s="6" t="s">
        <v>929</v>
      </c>
      <c r="G95" s="6" t="s">
        <v>930</v>
      </c>
      <c r="H95" s="6" t="s">
        <v>931</v>
      </c>
      <c r="I95" s="6" t="s">
        <v>932</v>
      </c>
      <c r="J95" s="6"/>
      <c r="K95" s="6"/>
      <c r="L95" s="6" t="s">
        <v>927</v>
      </c>
      <c r="M95" s="6" t="s">
        <v>927</v>
      </c>
      <c r="N95" s="6" t="s">
        <v>928</v>
      </c>
      <c r="O95" s="6" t="s">
        <v>933</v>
      </c>
      <c r="P95" s="6" t="s">
        <v>934</v>
      </c>
      <c r="Q95" s="6"/>
      <c r="R95" s="6" t="s">
        <v>169</v>
      </c>
      <c r="S95" s="7" t="s">
        <v>32</v>
      </c>
    </row>
    <row r="96" spans="1:19">
      <c r="A96" s="4" t="s">
        <v>935</v>
      </c>
      <c r="B96" s="5">
        <v>4549</v>
      </c>
      <c r="C96" s="6" t="s">
        <v>20</v>
      </c>
      <c r="D96" s="6" t="s">
        <v>936</v>
      </c>
      <c r="E96" s="6" t="s">
        <v>937</v>
      </c>
      <c r="F96" s="6" t="s">
        <v>938</v>
      </c>
      <c r="G96" s="6" t="s">
        <v>939</v>
      </c>
      <c r="H96" s="6" t="s">
        <v>940</v>
      </c>
      <c r="I96" s="6" t="s">
        <v>941</v>
      </c>
      <c r="J96" s="6"/>
      <c r="K96" s="6"/>
      <c r="L96" s="6" t="s">
        <v>936</v>
      </c>
      <c r="M96" s="6" t="s">
        <v>936</v>
      </c>
      <c r="N96" s="6" t="s">
        <v>937</v>
      </c>
      <c r="O96" s="6" t="s">
        <v>942</v>
      </c>
      <c r="P96" s="6" t="s">
        <v>943</v>
      </c>
      <c r="Q96" s="6"/>
      <c r="R96" s="6" t="s">
        <v>169</v>
      </c>
      <c r="S96" s="7" t="s">
        <v>32</v>
      </c>
    </row>
    <row r="97" spans="1:19">
      <c r="A97" s="4" t="s">
        <v>944</v>
      </c>
      <c r="B97" s="5">
        <v>4550</v>
      </c>
      <c r="C97" s="6" t="s">
        <v>43</v>
      </c>
      <c r="D97" s="6" t="s">
        <v>945</v>
      </c>
      <c r="E97" s="6" t="s">
        <v>946</v>
      </c>
      <c r="F97" s="6" t="s">
        <v>947</v>
      </c>
      <c r="G97" s="6" t="s">
        <v>948</v>
      </c>
      <c r="H97" s="6" t="s">
        <v>949</v>
      </c>
      <c r="I97" s="6" t="s">
        <v>950</v>
      </c>
      <c r="J97" s="6"/>
      <c r="K97" s="6"/>
      <c r="L97" s="6" t="s">
        <v>945</v>
      </c>
      <c r="M97" s="6" t="s">
        <v>945</v>
      </c>
      <c r="N97" s="6" t="s">
        <v>946</v>
      </c>
      <c r="O97" s="6" t="s">
        <v>951</v>
      </c>
      <c r="P97" s="6" t="s">
        <v>952</v>
      </c>
      <c r="Q97" s="6"/>
      <c r="R97" s="6" t="s">
        <v>169</v>
      </c>
      <c r="S97" s="7" t="s">
        <v>32</v>
      </c>
    </row>
    <row r="98" spans="1:19">
      <c r="A98" s="4" t="s">
        <v>953</v>
      </c>
      <c r="B98" s="5">
        <v>4224</v>
      </c>
      <c r="C98" s="6" t="s">
        <v>550</v>
      </c>
      <c r="D98" s="6" t="s">
        <v>954</v>
      </c>
      <c r="E98" s="6" t="s">
        <v>955</v>
      </c>
      <c r="F98" s="6" t="s">
        <v>956</v>
      </c>
      <c r="G98" s="6" t="s">
        <v>957</v>
      </c>
      <c r="H98" s="6" t="s">
        <v>958</v>
      </c>
      <c r="I98" s="6" t="s">
        <v>959</v>
      </c>
      <c r="J98" s="6"/>
      <c r="K98" s="6" t="s">
        <v>960</v>
      </c>
      <c r="L98" s="6" t="s">
        <v>961</v>
      </c>
      <c r="M98" s="6" t="s">
        <v>962</v>
      </c>
      <c r="N98" s="6" t="s">
        <v>963</v>
      </c>
      <c r="O98" s="6" t="s">
        <v>279</v>
      </c>
      <c r="P98" s="6" t="s">
        <v>280</v>
      </c>
      <c r="Q98" s="6"/>
      <c r="R98" s="6" t="s">
        <v>282</v>
      </c>
      <c r="S98" s="6"/>
    </row>
    <row r="99" spans="1:19">
      <c r="A99" s="4" t="s">
        <v>964</v>
      </c>
      <c r="B99" s="5">
        <v>4123</v>
      </c>
      <c r="C99" s="6" t="s">
        <v>550</v>
      </c>
      <c r="D99" s="6" t="s">
        <v>965</v>
      </c>
      <c r="E99" s="6" t="s">
        <v>966</v>
      </c>
      <c r="F99" s="6" t="s">
        <v>967</v>
      </c>
      <c r="G99" s="6" t="s">
        <v>968</v>
      </c>
      <c r="H99" s="6" t="s">
        <v>969</v>
      </c>
      <c r="I99" s="6" t="s">
        <v>970</v>
      </c>
      <c r="J99" s="6"/>
      <c r="K99" s="6" t="s">
        <v>971</v>
      </c>
      <c r="L99" s="6" t="s">
        <v>965</v>
      </c>
      <c r="M99" s="6" t="s">
        <v>965</v>
      </c>
      <c r="N99" s="6" t="s">
        <v>966</v>
      </c>
      <c r="O99" s="6" t="s">
        <v>279</v>
      </c>
      <c r="P99" s="6" t="s">
        <v>280</v>
      </c>
      <c r="Q99" s="6" t="s">
        <v>972</v>
      </c>
      <c r="R99" s="6" t="s">
        <v>282</v>
      </c>
      <c r="S99" s="6"/>
    </row>
    <row r="100" spans="1:19">
      <c r="A100" s="4" t="s">
        <v>973</v>
      </c>
      <c r="B100" s="5">
        <v>4721</v>
      </c>
      <c r="C100" s="6" t="s">
        <v>103</v>
      </c>
      <c r="D100" s="6" t="s">
        <v>974</v>
      </c>
      <c r="E100" s="6" t="s">
        <v>975</v>
      </c>
      <c r="F100" s="6" t="s">
        <v>976</v>
      </c>
      <c r="G100" s="6" t="s">
        <v>977</v>
      </c>
      <c r="H100" s="6" t="s">
        <v>978</v>
      </c>
      <c r="I100" s="6" t="s">
        <v>979</v>
      </c>
      <c r="J100" s="6"/>
      <c r="K100" s="6"/>
      <c r="L100" s="6" t="s">
        <v>974</v>
      </c>
      <c r="M100" s="6" t="s">
        <v>974</v>
      </c>
      <c r="N100" s="6" t="s">
        <v>975</v>
      </c>
      <c r="O100" s="6" t="s">
        <v>980</v>
      </c>
      <c r="P100" s="6" t="s">
        <v>981</v>
      </c>
      <c r="Q100" s="6"/>
      <c r="R100" s="6" t="s">
        <v>169</v>
      </c>
      <c r="S100" s="7" t="s">
        <v>32</v>
      </c>
    </row>
    <row r="101" spans="1:19">
      <c r="A101" s="4" t="s">
        <v>982</v>
      </c>
      <c r="B101" s="5">
        <v>4212</v>
      </c>
      <c r="C101" s="6" t="s">
        <v>550</v>
      </c>
      <c r="D101" s="6" t="s">
        <v>983</v>
      </c>
      <c r="E101" s="6" t="s">
        <v>984</v>
      </c>
      <c r="F101" s="6" t="s">
        <v>985</v>
      </c>
      <c r="G101" s="6" t="s">
        <v>986</v>
      </c>
      <c r="H101" s="6" t="s">
        <v>987</v>
      </c>
      <c r="I101" s="6" t="s">
        <v>988</v>
      </c>
      <c r="J101" s="6"/>
      <c r="K101" s="6" t="s">
        <v>989</v>
      </c>
      <c r="L101" s="6" t="s">
        <v>983</v>
      </c>
      <c r="M101" s="6" t="s">
        <v>983</v>
      </c>
      <c r="N101" s="6" t="s">
        <v>984</v>
      </c>
      <c r="O101" s="6" t="s">
        <v>279</v>
      </c>
      <c r="P101" s="6" t="s">
        <v>280</v>
      </c>
      <c r="Q101" s="6"/>
      <c r="R101" s="6" t="s">
        <v>282</v>
      </c>
      <c r="S101" s="6"/>
    </row>
    <row r="102" spans="1:19">
      <c r="A102" s="4" t="s">
        <v>990</v>
      </c>
      <c r="B102" s="5">
        <v>4114</v>
      </c>
      <c r="C102" s="6" t="s">
        <v>550</v>
      </c>
      <c r="D102" s="6" t="s">
        <v>991</v>
      </c>
      <c r="E102" s="6" t="s">
        <v>992</v>
      </c>
      <c r="F102" s="6" t="s">
        <v>993</v>
      </c>
      <c r="G102" s="6" t="s">
        <v>994</v>
      </c>
      <c r="H102" s="6" t="s">
        <v>995</v>
      </c>
      <c r="I102" s="6" t="s">
        <v>996</v>
      </c>
      <c r="J102" s="6"/>
      <c r="K102" s="6" t="s">
        <v>997</v>
      </c>
      <c r="L102" s="6" t="s">
        <v>991</v>
      </c>
      <c r="M102" s="6" t="s">
        <v>998</v>
      </c>
      <c r="N102" s="6" t="s">
        <v>992</v>
      </c>
      <c r="O102" s="6" t="s">
        <v>279</v>
      </c>
      <c r="P102" s="6" t="s">
        <v>280</v>
      </c>
      <c r="Q102" s="6" t="s">
        <v>999</v>
      </c>
      <c r="R102" s="6" t="s">
        <v>282</v>
      </c>
      <c r="S102" s="6"/>
    </row>
    <row r="103" spans="1:19">
      <c r="A103" s="4" t="s">
        <v>1000</v>
      </c>
      <c r="B103" s="5">
        <v>4247</v>
      </c>
      <c r="C103" s="6" t="s">
        <v>550</v>
      </c>
      <c r="D103" s="6" t="s">
        <v>1001</v>
      </c>
      <c r="E103" s="6" t="s">
        <v>1002</v>
      </c>
      <c r="F103" s="6" t="s">
        <v>1003</v>
      </c>
      <c r="G103" s="6" t="s">
        <v>1004</v>
      </c>
      <c r="H103" s="6" t="s">
        <v>1005</v>
      </c>
      <c r="I103" s="6" t="s">
        <v>1006</v>
      </c>
      <c r="J103" s="6"/>
      <c r="K103" s="6" t="s">
        <v>1007</v>
      </c>
      <c r="L103" s="6" t="s">
        <v>1008</v>
      </c>
      <c r="M103" s="6" t="s">
        <v>1008</v>
      </c>
      <c r="N103" s="6" t="s">
        <v>1002</v>
      </c>
      <c r="O103" s="6" t="s">
        <v>279</v>
      </c>
      <c r="P103" s="6" t="s">
        <v>280</v>
      </c>
      <c r="Q103" s="6" t="s">
        <v>1009</v>
      </c>
      <c r="R103" s="6" t="s">
        <v>282</v>
      </c>
      <c r="S103" s="6"/>
    </row>
    <row r="104" spans="1:19">
      <c r="A104" s="4" t="s">
        <v>1010</v>
      </c>
      <c r="B104" s="5">
        <v>4199</v>
      </c>
      <c r="C104" s="6" t="s">
        <v>550</v>
      </c>
      <c r="D104" s="6" t="s">
        <v>1011</v>
      </c>
      <c r="E104" s="6" t="s">
        <v>1012</v>
      </c>
      <c r="F104" s="6" t="s">
        <v>1013</v>
      </c>
      <c r="G104" s="6" t="s">
        <v>1014</v>
      </c>
      <c r="H104" s="6" t="s">
        <v>1015</v>
      </c>
      <c r="I104" s="6" t="s">
        <v>1016</v>
      </c>
      <c r="J104" s="6"/>
      <c r="K104" s="6" t="s">
        <v>1017</v>
      </c>
      <c r="L104" s="6" t="s">
        <v>1011</v>
      </c>
      <c r="M104" s="6" t="s">
        <v>1011</v>
      </c>
      <c r="N104" s="6" t="s">
        <v>1012</v>
      </c>
      <c r="O104" s="6" t="s">
        <v>279</v>
      </c>
      <c r="P104" s="6" t="s">
        <v>280</v>
      </c>
      <c r="Q104" s="6"/>
      <c r="R104" s="6" t="s">
        <v>282</v>
      </c>
      <c r="S104" s="6"/>
    </row>
    <row r="105" spans="1:19">
      <c r="A105" s="4" t="s">
        <v>1018</v>
      </c>
      <c r="B105" s="5">
        <v>4682</v>
      </c>
      <c r="C105" s="6" t="s">
        <v>103</v>
      </c>
      <c r="D105" s="6" t="s">
        <v>1019</v>
      </c>
      <c r="E105" s="6" t="s">
        <v>1020</v>
      </c>
      <c r="F105" s="6" t="s">
        <v>1021</v>
      </c>
      <c r="G105" s="6" t="s">
        <v>1022</v>
      </c>
      <c r="H105" s="6" t="s">
        <v>1023</v>
      </c>
      <c r="I105" s="6" t="s">
        <v>1024</v>
      </c>
      <c r="J105" s="6"/>
      <c r="K105" s="6"/>
      <c r="L105" s="6" t="s">
        <v>1019</v>
      </c>
      <c r="M105" s="6" t="s">
        <v>1019</v>
      </c>
      <c r="N105" s="6" t="s">
        <v>1020</v>
      </c>
      <c r="O105" s="6" t="s">
        <v>1025</v>
      </c>
      <c r="P105" s="6" t="s">
        <v>1026</v>
      </c>
      <c r="Q105" s="6" t="s">
        <v>1027</v>
      </c>
      <c r="R105" s="6" t="s">
        <v>169</v>
      </c>
      <c r="S105" s="7" t="s">
        <v>32</v>
      </c>
    </row>
    <row r="106" spans="1:19">
      <c r="A106" s="4" t="s">
        <v>1028</v>
      </c>
      <c r="B106" s="5">
        <v>4541</v>
      </c>
      <c r="C106" s="6" t="s">
        <v>62</v>
      </c>
      <c r="D106" s="6" t="s">
        <v>1029</v>
      </c>
      <c r="E106" s="6" t="s">
        <v>1030</v>
      </c>
      <c r="F106" s="6" t="s">
        <v>1031</v>
      </c>
      <c r="G106" s="6" t="s">
        <v>1032</v>
      </c>
      <c r="H106" s="6" t="s">
        <v>1033</v>
      </c>
      <c r="I106" s="6" t="s">
        <v>1034</v>
      </c>
      <c r="J106" s="6"/>
      <c r="K106" s="6"/>
      <c r="L106" s="6" t="s">
        <v>1029</v>
      </c>
      <c r="M106" s="6" t="s">
        <v>1029</v>
      </c>
      <c r="N106" s="6" t="s">
        <v>1030</v>
      </c>
      <c r="O106" s="6" t="s">
        <v>1035</v>
      </c>
      <c r="P106" s="6" t="s">
        <v>1036</v>
      </c>
      <c r="Q106" s="6"/>
      <c r="R106" s="6" t="s">
        <v>169</v>
      </c>
      <c r="S106" s="7" t="s">
        <v>32</v>
      </c>
    </row>
    <row r="107" spans="1:19">
      <c r="A107" s="4" t="s">
        <v>1037</v>
      </c>
      <c r="B107" s="5">
        <v>4698</v>
      </c>
      <c r="C107" s="6" t="s">
        <v>62</v>
      </c>
      <c r="D107" s="6" t="s">
        <v>1038</v>
      </c>
      <c r="E107" s="6" t="s">
        <v>1039</v>
      </c>
      <c r="F107" s="6" t="s">
        <v>1040</v>
      </c>
      <c r="G107" s="6" t="s">
        <v>1041</v>
      </c>
      <c r="H107" s="6" t="s">
        <v>1042</v>
      </c>
      <c r="I107" s="6" t="s">
        <v>1043</v>
      </c>
      <c r="J107" s="6" t="s">
        <v>1044</v>
      </c>
      <c r="K107" s="6" t="s">
        <v>1040</v>
      </c>
      <c r="L107" s="6" t="s">
        <v>1038</v>
      </c>
      <c r="M107" s="6" t="s">
        <v>1038</v>
      </c>
      <c r="N107" s="6" t="s">
        <v>1039</v>
      </c>
      <c r="O107" s="6" t="s">
        <v>1045</v>
      </c>
      <c r="P107" s="6" t="s">
        <v>1046</v>
      </c>
      <c r="Q107" s="6"/>
      <c r="R107" s="6" t="s">
        <v>169</v>
      </c>
      <c r="S107" s="7" t="s">
        <v>32</v>
      </c>
    </row>
    <row r="108" spans="1:19">
      <c r="A108" s="4" t="s">
        <v>1047</v>
      </c>
      <c r="B108" s="5">
        <v>4554</v>
      </c>
      <c r="C108" s="6" t="s">
        <v>43</v>
      </c>
      <c r="D108" s="6" t="s">
        <v>1048</v>
      </c>
      <c r="E108" s="6" t="s">
        <v>1049</v>
      </c>
      <c r="F108" s="6" t="s">
        <v>1050</v>
      </c>
      <c r="G108" s="6" t="s">
        <v>1051</v>
      </c>
      <c r="H108" s="6" t="s">
        <v>1052</v>
      </c>
      <c r="I108" s="6" t="s">
        <v>1053</v>
      </c>
      <c r="J108" s="6"/>
      <c r="K108" s="6"/>
      <c r="L108" s="6" t="s">
        <v>1048</v>
      </c>
      <c r="M108" s="6" t="s">
        <v>1048</v>
      </c>
      <c r="N108" s="6" t="s">
        <v>1049</v>
      </c>
      <c r="O108" s="6" t="s">
        <v>1054</v>
      </c>
      <c r="P108" s="6" t="s">
        <v>1055</v>
      </c>
      <c r="Q108" s="6"/>
      <c r="R108" s="6" t="s">
        <v>169</v>
      </c>
      <c r="S108" s="7" t="s">
        <v>32</v>
      </c>
    </row>
    <row r="109" spans="1:19">
      <c r="A109" s="4" t="s">
        <v>1056</v>
      </c>
      <c r="B109" s="5">
        <v>4748</v>
      </c>
      <c r="C109" s="6" t="s">
        <v>43</v>
      </c>
      <c r="D109" s="6" t="s">
        <v>1057</v>
      </c>
      <c r="E109" s="6" t="s">
        <v>1058</v>
      </c>
      <c r="F109" s="6" t="s">
        <v>1059</v>
      </c>
      <c r="G109" s="6" t="s">
        <v>1060</v>
      </c>
      <c r="H109" s="6" t="s">
        <v>1061</v>
      </c>
      <c r="I109" s="6" t="s">
        <v>1062</v>
      </c>
      <c r="J109" s="6"/>
      <c r="K109" s="6"/>
      <c r="L109" s="6" t="s">
        <v>1057</v>
      </c>
      <c r="M109" s="6" t="s">
        <v>1057</v>
      </c>
      <c r="N109" s="6" t="s">
        <v>1058</v>
      </c>
      <c r="O109" s="6" t="s">
        <v>1063</v>
      </c>
      <c r="P109" s="6" t="s">
        <v>1064</v>
      </c>
      <c r="Q109" s="6"/>
      <c r="R109" s="6" t="s">
        <v>169</v>
      </c>
      <c r="S109" s="7" t="s">
        <v>32</v>
      </c>
    </row>
    <row r="110" spans="1:19">
      <c r="A110" s="4" t="s">
        <v>1065</v>
      </c>
      <c r="B110" s="5">
        <v>4560</v>
      </c>
      <c r="C110" s="6" t="s">
        <v>62</v>
      </c>
      <c r="D110" s="6" t="s">
        <v>1066</v>
      </c>
      <c r="E110" s="6" t="s">
        <v>1067</v>
      </c>
      <c r="F110" s="6" t="s">
        <v>1068</v>
      </c>
      <c r="G110" s="6" t="s">
        <v>1069</v>
      </c>
      <c r="H110" s="6" t="s">
        <v>1070</v>
      </c>
      <c r="I110" s="6" t="s">
        <v>1071</v>
      </c>
      <c r="J110" s="6" t="s">
        <v>1072</v>
      </c>
      <c r="K110" s="6"/>
      <c r="L110" s="6" t="s">
        <v>1066</v>
      </c>
      <c r="M110" s="6" t="s">
        <v>1066</v>
      </c>
      <c r="N110" s="6" t="s">
        <v>1067</v>
      </c>
      <c r="O110" s="6" t="s">
        <v>1073</v>
      </c>
      <c r="P110" s="6" t="s">
        <v>1074</v>
      </c>
      <c r="Q110" s="6"/>
      <c r="R110" s="6" t="s">
        <v>169</v>
      </c>
      <c r="S110" s="7" t="s">
        <v>32</v>
      </c>
    </row>
    <row r="111" spans="1:19">
      <c r="A111" s="4" t="s">
        <v>1075</v>
      </c>
      <c r="B111" s="5">
        <v>4513</v>
      </c>
      <c r="C111" s="6" t="s">
        <v>62</v>
      </c>
      <c r="D111" s="6" t="s">
        <v>1076</v>
      </c>
      <c r="E111" s="6" t="s">
        <v>1077</v>
      </c>
      <c r="F111" s="6" t="s">
        <v>1078</v>
      </c>
      <c r="G111" s="6" t="s">
        <v>1079</v>
      </c>
      <c r="H111" s="6" t="s">
        <v>1080</v>
      </c>
      <c r="I111" s="6" t="s">
        <v>1081</v>
      </c>
      <c r="J111" s="6" t="s">
        <v>1082</v>
      </c>
      <c r="K111" s="6" t="s">
        <v>1078</v>
      </c>
      <c r="L111" s="6" t="s">
        <v>1076</v>
      </c>
      <c r="M111" s="6" t="s">
        <v>1076</v>
      </c>
      <c r="N111" s="6" t="s">
        <v>1077</v>
      </c>
      <c r="O111" s="6" t="s">
        <v>1083</v>
      </c>
      <c r="P111" s="6" t="s">
        <v>1084</v>
      </c>
      <c r="Q111" s="6" t="s">
        <v>1078</v>
      </c>
      <c r="R111" s="6" t="s">
        <v>169</v>
      </c>
      <c r="S111" s="7" t="s">
        <v>32</v>
      </c>
    </row>
    <row r="112" spans="1:19">
      <c r="A112" s="4" t="s">
        <v>1085</v>
      </c>
      <c r="B112" s="5">
        <v>4231</v>
      </c>
      <c r="C112" s="6" t="s">
        <v>397</v>
      </c>
      <c r="D112" s="6" t="s">
        <v>1086</v>
      </c>
      <c r="E112" s="6" t="s">
        <v>1087</v>
      </c>
      <c r="F112" s="6" t="s">
        <v>1088</v>
      </c>
      <c r="G112" s="6" t="s">
        <v>1089</v>
      </c>
      <c r="H112" s="6" t="s">
        <v>1090</v>
      </c>
      <c r="I112" s="6" t="s">
        <v>1091</v>
      </c>
      <c r="J112" s="6"/>
      <c r="K112" s="6"/>
      <c r="L112" s="6" t="s">
        <v>1092</v>
      </c>
      <c r="M112" s="6" t="s">
        <v>1086</v>
      </c>
      <c r="N112" s="6" t="s">
        <v>1087</v>
      </c>
      <c r="O112" s="6" t="s">
        <v>279</v>
      </c>
      <c r="P112" s="6" t="s">
        <v>280</v>
      </c>
      <c r="Q112" s="6"/>
      <c r="R112" s="6" t="s">
        <v>282</v>
      </c>
      <c r="S112" s="6"/>
    </row>
    <row r="113" spans="1:19">
      <c r="A113" s="4" t="s">
        <v>1093</v>
      </c>
      <c r="B113" s="5">
        <v>4359</v>
      </c>
      <c r="C113" s="6" t="s">
        <v>397</v>
      </c>
      <c r="D113" s="6" t="s">
        <v>1094</v>
      </c>
      <c r="E113" s="6" t="s">
        <v>1095</v>
      </c>
      <c r="F113" s="6" t="s">
        <v>1096</v>
      </c>
      <c r="G113" s="6" t="s">
        <v>1097</v>
      </c>
      <c r="H113" s="6" t="s">
        <v>1098</v>
      </c>
      <c r="I113" s="6" t="s">
        <v>1099</v>
      </c>
      <c r="J113" s="6"/>
      <c r="K113" s="6" t="s">
        <v>1100</v>
      </c>
      <c r="L113" s="6" t="s">
        <v>1094</v>
      </c>
      <c r="M113" s="6" t="s">
        <v>1094</v>
      </c>
      <c r="N113" s="6" t="s">
        <v>1095</v>
      </c>
      <c r="O113" s="6" t="s">
        <v>279</v>
      </c>
      <c r="P113" s="6" t="s">
        <v>280</v>
      </c>
      <c r="Q113" s="6" t="s">
        <v>1101</v>
      </c>
      <c r="R113" s="6" t="s">
        <v>282</v>
      </c>
      <c r="S113" s="6"/>
    </row>
    <row r="114" spans="1:19">
      <c r="A114" s="4" t="s">
        <v>1102</v>
      </c>
      <c r="B114" s="5">
        <v>4201</v>
      </c>
      <c r="C114" s="6" t="s">
        <v>269</v>
      </c>
      <c r="D114" s="6" t="s">
        <v>1103</v>
      </c>
      <c r="E114" s="6" t="s">
        <v>1104</v>
      </c>
      <c r="F114" s="6" t="s">
        <v>1105</v>
      </c>
      <c r="G114" s="6" t="s">
        <v>1106</v>
      </c>
      <c r="H114" s="6" t="s">
        <v>1107</v>
      </c>
      <c r="I114" s="6" t="s">
        <v>1108</v>
      </c>
      <c r="J114" s="6"/>
      <c r="K114" s="6" t="s">
        <v>1109</v>
      </c>
      <c r="L114" s="6" t="s">
        <v>1110</v>
      </c>
      <c r="M114" s="6" t="s">
        <v>1103</v>
      </c>
      <c r="N114" s="6" t="s">
        <v>1104</v>
      </c>
      <c r="O114" s="6" t="s">
        <v>279</v>
      </c>
      <c r="P114" s="6" t="s">
        <v>280</v>
      </c>
      <c r="Q114" s="6"/>
      <c r="R114" s="6" t="s">
        <v>282</v>
      </c>
      <c r="S114" s="6"/>
    </row>
    <row r="115" spans="1:19">
      <c r="A115" s="4" t="s">
        <v>1111</v>
      </c>
      <c r="B115" s="5">
        <v>4753</v>
      </c>
      <c r="C115" s="6" t="s">
        <v>53</v>
      </c>
      <c r="D115" s="6" t="s">
        <v>1112</v>
      </c>
      <c r="E115" s="6" t="s">
        <v>1113</v>
      </c>
      <c r="F115" s="6" t="s">
        <v>1114</v>
      </c>
      <c r="G115" s="6" t="s">
        <v>1115</v>
      </c>
      <c r="H115" s="6" t="s">
        <v>1116</v>
      </c>
      <c r="I115" s="6" t="s">
        <v>1117</v>
      </c>
      <c r="J115" s="6" t="s">
        <v>1118</v>
      </c>
      <c r="K115" s="6" t="s">
        <v>1119</v>
      </c>
      <c r="L115" s="6" t="s">
        <v>1112</v>
      </c>
      <c r="M115" s="6" t="s">
        <v>1120</v>
      </c>
      <c r="N115" s="6" t="s">
        <v>1113</v>
      </c>
      <c r="O115" s="6" t="s">
        <v>1121</v>
      </c>
      <c r="P115" s="6" t="s">
        <v>1122</v>
      </c>
      <c r="Q115" s="6"/>
      <c r="R115" s="6" t="s">
        <v>169</v>
      </c>
      <c r="S115" s="7" t="s">
        <v>32</v>
      </c>
    </row>
    <row r="116" spans="1:19">
      <c r="A116" s="4" t="s">
        <v>1123</v>
      </c>
      <c r="B116" s="5">
        <v>4539</v>
      </c>
      <c r="C116" s="6" t="s">
        <v>43</v>
      </c>
      <c r="D116" s="6" t="s">
        <v>1124</v>
      </c>
      <c r="E116" s="6" t="s">
        <v>1125</v>
      </c>
      <c r="F116" s="6" t="s">
        <v>1126</v>
      </c>
      <c r="G116" s="6" t="s">
        <v>1127</v>
      </c>
      <c r="H116" s="6" t="s">
        <v>1128</v>
      </c>
      <c r="I116" s="6" t="s">
        <v>1129</v>
      </c>
      <c r="J116" s="6" t="s">
        <v>1130</v>
      </c>
      <c r="K116" s="6" t="s">
        <v>1131</v>
      </c>
      <c r="L116" s="6" t="s">
        <v>1124</v>
      </c>
      <c r="M116" s="6" t="s">
        <v>1124</v>
      </c>
      <c r="N116" s="6" t="s">
        <v>1125</v>
      </c>
      <c r="O116" s="6" t="s">
        <v>1132</v>
      </c>
      <c r="P116" s="6" t="s">
        <v>1133</v>
      </c>
      <c r="Q116" s="6"/>
      <c r="R116" s="6" t="s">
        <v>169</v>
      </c>
      <c r="S116" s="7" t="s">
        <v>32</v>
      </c>
    </row>
    <row r="117" spans="1:19">
      <c r="A117" s="4" t="s">
        <v>1134</v>
      </c>
      <c r="B117" s="5">
        <v>4200</v>
      </c>
      <c r="C117" s="6" t="s">
        <v>305</v>
      </c>
      <c r="D117" s="6" t="s">
        <v>1135</v>
      </c>
      <c r="E117" s="6" t="s">
        <v>1136</v>
      </c>
      <c r="F117" s="6" t="s">
        <v>1137</v>
      </c>
      <c r="G117" s="6" t="s">
        <v>1138</v>
      </c>
      <c r="H117" s="6" t="s">
        <v>1139</v>
      </c>
      <c r="I117" s="6" t="s">
        <v>1140</v>
      </c>
      <c r="J117" s="6"/>
      <c r="K117" s="6" t="s">
        <v>1141</v>
      </c>
      <c r="L117" s="6" t="s">
        <v>1135</v>
      </c>
      <c r="M117" s="6" t="s">
        <v>1135</v>
      </c>
      <c r="N117" s="6" t="s">
        <v>1136</v>
      </c>
      <c r="O117" s="6" t="s">
        <v>279</v>
      </c>
      <c r="P117" s="6" t="s">
        <v>280</v>
      </c>
      <c r="Q117" s="6" t="s">
        <v>1142</v>
      </c>
      <c r="R117" s="6" t="s">
        <v>282</v>
      </c>
      <c r="S117" s="6"/>
    </row>
    <row r="118" spans="1:19">
      <c r="A118" s="4" t="s">
        <v>1143</v>
      </c>
      <c r="B118" s="5">
        <v>4546</v>
      </c>
      <c r="C118" s="6" t="s">
        <v>43</v>
      </c>
      <c r="D118" s="6" t="s">
        <v>1144</v>
      </c>
      <c r="E118" s="6" t="s">
        <v>1145</v>
      </c>
      <c r="F118" s="6" t="s">
        <v>1146</v>
      </c>
      <c r="G118" s="6" t="s">
        <v>1147</v>
      </c>
      <c r="H118" s="6" t="s">
        <v>1148</v>
      </c>
      <c r="I118" s="6" t="s">
        <v>1149</v>
      </c>
      <c r="J118" s="6"/>
      <c r="K118" s="6"/>
      <c r="L118" s="6" t="s">
        <v>1144</v>
      </c>
      <c r="M118" s="6" t="s">
        <v>1144</v>
      </c>
      <c r="N118" s="6" t="s">
        <v>1145</v>
      </c>
      <c r="O118" s="6" t="s">
        <v>1150</v>
      </c>
      <c r="P118" s="6" t="s">
        <v>1151</v>
      </c>
      <c r="Q118" s="6"/>
      <c r="R118" s="6" t="s">
        <v>169</v>
      </c>
      <c r="S118" s="7" t="s">
        <v>32</v>
      </c>
    </row>
    <row r="119" spans="1:19">
      <c r="A119" s="4" t="s">
        <v>1152</v>
      </c>
      <c r="B119" s="5">
        <v>4232</v>
      </c>
      <c r="C119" s="6" t="s">
        <v>305</v>
      </c>
      <c r="D119" s="6" t="s">
        <v>1153</v>
      </c>
      <c r="E119" s="6" t="s">
        <v>1154</v>
      </c>
      <c r="F119" s="6" t="s">
        <v>1155</v>
      </c>
      <c r="G119" s="6" t="s">
        <v>1156</v>
      </c>
      <c r="H119" s="6" t="s">
        <v>1157</v>
      </c>
      <c r="I119" s="6" t="s">
        <v>1158</v>
      </c>
      <c r="J119" s="6"/>
      <c r="K119" s="6" t="s">
        <v>1159</v>
      </c>
      <c r="L119" s="6" t="s">
        <v>1153</v>
      </c>
      <c r="M119" s="6" t="s">
        <v>1153</v>
      </c>
      <c r="N119" s="6" t="s">
        <v>1154</v>
      </c>
      <c r="O119" s="6" t="s">
        <v>279</v>
      </c>
      <c r="P119" s="6" t="s">
        <v>280</v>
      </c>
      <c r="Q119" s="6" t="s">
        <v>1160</v>
      </c>
      <c r="R119" s="6" t="s">
        <v>282</v>
      </c>
      <c r="S119" s="6"/>
    </row>
    <row r="120" spans="1:19">
      <c r="A120" s="4" t="s">
        <v>1161</v>
      </c>
      <c r="B120" s="5">
        <v>4935</v>
      </c>
      <c r="C120" s="6" t="s">
        <v>62</v>
      </c>
      <c r="D120" s="6" t="s">
        <v>1162</v>
      </c>
      <c r="E120" s="6" t="s">
        <v>1163</v>
      </c>
      <c r="F120" s="6" t="s">
        <v>1164</v>
      </c>
      <c r="G120" s="6"/>
      <c r="H120" s="6"/>
      <c r="I120" s="6"/>
      <c r="J120" s="6"/>
      <c r="K120" s="6"/>
      <c r="L120" s="6" t="s">
        <v>1162</v>
      </c>
      <c r="M120" s="6" t="s">
        <v>1162</v>
      </c>
      <c r="N120" s="6" t="s">
        <v>1163</v>
      </c>
      <c r="O120" s="6" t="s">
        <v>1165</v>
      </c>
      <c r="P120" s="6" t="s">
        <v>1166</v>
      </c>
      <c r="Q120" s="6"/>
      <c r="R120" s="6" t="s">
        <v>169</v>
      </c>
      <c r="S120" s="7" t="s">
        <v>32</v>
      </c>
    </row>
    <row r="121" spans="1:19">
      <c r="A121" s="4" t="s">
        <v>1167</v>
      </c>
      <c r="B121" s="5">
        <v>4685</v>
      </c>
      <c r="C121" s="6" t="s">
        <v>43</v>
      </c>
      <c r="D121" s="6" t="s">
        <v>1168</v>
      </c>
      <c r="E121" s="6" t="s">
        <v>1169</v>
      </c>
      <c r="F121" s="6" t="s">
        <v>1170</v>
      </c>
      <c r="G121" s="6" t="s">
        <v>1171</v>
      </c>
      <c r="H121" s="6" t="s">
        <v>1172</v>
      </c>
      <c r="I121" s="6" t="s">
        <v>1173</v>
      </c>
      <c r="J121" s="6"/>
      <c r="K121" s="6" t="s">
        <v>1174</v>
      </c>
      <c r="L121" s="6" t="s">
        <v>1168</v>
      </c>
      <c r="M121" s="6" t="s">
        <v>1168</v>
      </c>
      <c r="N121" s="6" t="s">
        <v>1169</v>
      </c>
      <c r="O121" s="6" t="s">
        <v>1175</v>
      </c>
      <c r="P121" s="6" t="s">
        <v>1176</v>
      </c>
      <c r="Q121" s="6"/>
      <c r="R121" s="6" t="s">
        <v>169</v>
      </c>
      <c r="S121" s="7" t="s">
        <v>32</v>
      </c>
    </row>
    <row r="122" spans="1:19">
      <c r="A122" s="4" t="s">
        <v>1177</v>
      </c>
      <c r="B122" s="5">
        <v>4671</v>
      </c>
      <c r="C122" s="6" t="s">
        <v>43</v>
      </c>
      <c r="D122" s="6" t="s">
        <v>1178</v>
      </c>
      <c r="E122" s="6" t="s">
        <v>1179</v>
      </c>
      <c r="F122" s="6" t="s">
        <v>1180</v>
      </c>
      <c r="G122" s="6" t="s">
        <v>1181</v>
      </c>
      <c r="H122" s="6" t="s">
        <v>1182</v>
      </c>
      <c r="I122" s="6" t="s">
        <v>1183</v>
      </c>
      <c r="J122" s="6" t="s">
        <v>1184</v>
      </c>
      <c r="K122" s="6"/>
      <c r="L122" s="6" t="s">
        <v>1178</v>
      </c>
      <c r="M122" s="6" t="s">
        <v>1178</v>
      </c>
      <c r="N122" s="6" t="s">
        <v>1179</v>
      </c>
      <c r="O122" s="6" t="s">
        <v>1185</v>
      </c>
      <c r="P122" s="6" t="s">
        <v>1186</v>
      </c>
      <c r="Q122" s="6"/>
      <c r="R122" s="6" t="s">
        <v>169</v>
      </c>
      <c r="S122" s="7" t="s">
        <v>32</v>
      </c>
    </row>
    <row r="123" spans="1:19">
      <c r="A123" s="4" t="s">
        <v>1187</v>
      </c>
      <c r="B123" s="5">
        <v>4563</v>
      </c>
      <c r="C123" s="6" t="s">
        <v>20</v>
      </c>
      <c r="D123" s="6" t="s">
        <v>1188</v>
      </c>
      <c r="E123" s="6" t="s">
        <v>1189</v>
      </c>
      <c r="F123" s="6" t="s">
        <v>1190</v>
      </c>
      <c r="G123" s="6" t="s">
        <v>1191</v>
      </c>
      <c r="H123" s="6" t="s">
        <v>1192</v>
      </c>
      <c r="I123" s="6" t="s">
        <v>1193</v>
      </c>
      <c r="J123" s="6"/>
      <c r="K123" s="6"/>
      <c r="L123" s="6" t="s">
        <v>1188</v>
      </c>
      <c r="M123" s="6" t="s">
        <v>1188</v>
      </c>
      <c r="N123" s="6" t="s">
        <v>1189</v>
      </c>
      <c r="O123" s="6" t="s">
        <v>1194</v>
      </c>
      <c r="P123" s="6" t="s">
        <v>1195</v>
      </c>
      <c r="Q123" s="6" t="s">
        <v>1190</v>
      </c>
      <c r="R123" s="6" t="s">
        <v>169</v>
      </c>
      <c r="S123" s="7" t="s">
        <v>32</v>
      </c>
    </row>
    <row r="124" spans="1:19">
      <c r="A124" s="4" t="s">
        <v>1196</v>
      </c>
      <c r="B124" s="5">
        <v>4202</v>
      </c>
      <c r="C124" s="6" t="s">
        <v>550</v>
      </c>
      <c r="D124" s="6" t="s">
        <v>1197</v>
      </c>
      <c r="E124" s="6" t="s">
        <v>1198</v>
      </c>
      <c r="F124" s="6" t="s">
        <v>1199</v>
      </c>
      <c r="G124" s="6" t="s">
        <v>1200</v>
      </c>
      <c r="H124" s="6" t="s">
        <v>1201</v>
      </c>
      <c r="I124" s="6" t="s">
        <v>1202</v>
      </c>
      <c r="J124" s="6"/>
      <c r="K124" s="6" t="s">
        <v>1203</v>
      </c>
      <c r="L124" s="6" t="s">
        <v>1197</v>
      </c>
      <c r="M124" s="6" t="s">
        <v>1197</v>
      </c>
      <c r="N124" s="6" t="s">
        <v>1198</v>
      </c>
      <c r="O124" s="6" t="s">
        <v>279</v>
      </c>
      <c r="P124" s="6" t="s">
        <v>280</v>
      </c>
      <c r="Q124" s="6" t="s">
        <v>1199</v>
      </c>
      <c r="R124" s="6" t="s">
        <v>282</v>
      </c>
      <c r="S124" s="6"/>
    </row>
    <row r="125" spans="1:19">
      <c r="A125" s="4" t="s">
        <v>1204</v>
      </c>
      <c r="B125" s="5">
        <v>4156</v>
      </c>
      <c r="C125" s="6" t="s">
        <v>314</v>
      </c>
      <c r="D125" s="6" t="s">
        <v>936</v>
      </c>
      <c r="E125" s="6" t="s">
        <v>1205</v>
      </c>
      <c r="F125" s="6" t="s">
        <v>1206</v>
      </c>
      <c r="G125" s="6" t="s">
        <v>1207</v>
      </c>
      <c r="H125" s="6" t="s">
        <v>1208</v>
      </c>
      <c r="I125" s="6" t="s">
        <v>1209</v>
      </c>
      <c r="J125" s="6"/>
      <c r="K125" s="6" t="s">
        <v>1210</v>
      </c>
      <c r="L125" s="6" t="s">
        <v>936</v>
      </c>
      <c r="M125" s="6" t="s">
        <v>936</v>
      </c>
      <c r="N125" s="6" t="s">
        <v>1205</v>
      </c>
      <c r="O125" s="6" t="s">
        <v>279</v>
      </c>
      <c r="P125" s="6" t="s">
        <v>280</v>
      </c>
      <c r="Q125" s="6"/>
      <c r="R125" s="6" t="s">
        <v>282</v>
      </c>
      <c r="S125" s="6"/>
    </row>
    <row r="126" spans="1:19">
      <c r="A126" s="4" t="s">
        <v>1211</v>
      </c>
      <c r="B126" s="5">
        <v>4626</v>
      </c>
      <c r="C126" s="6" t="s">
        <v>53</v>
      </c>
      <c r="D126" s="6" t="s">
        <v>1212</v>
      </c>
      <c r="E126" s="6" t="s">
        <v>1213</v>
      </c>
      <c r="F126" s="6" t="s">
        <v>1214</v>
      </c>
      <c r="G126" s="6" t="s">
        <v>1215</v>
      </c>
      <c r="H126" s="6" t="s">
        <v>1216</v>
      </c>
      <c r="I126" s="6" t="s">
        <v>1217</v>
      </c>
      <c r="J126" s="6"/>
      <c r="K126" s="6"/>
      <c r="L126" s="6" t="s">
        <v>1212</v>
      </c>
      <c r="M126" s="6" t="s">
        <v>1212</v>
      </c>
      <c r="N126" s="6" t="s">
        <v>1213</v>
      </c>
      <c r="O126" s="6" t="s">
        <v>1121</v>
      </c>
      <c r="P126" s="6" t="s">
        <v>1122</v>
      </c>
      <c r="Q126" s="6"/>
      <c r="R126" s="6" t="s">
        <v>169</v>
      </c>
      <c r="S126" s="7" t="s">
        <v>32</v>
      </c>
    </row>
    <row r="127" spans="1:19">
      <c r="A127" s="4" t="s">
        <v>1218</v>
      </c>
      <c r="B127" s="5">
        <v>4183</v>
      </c>
      <c r="C127" s="6" t="s">
        <v>269</v>
      </c>
      <c r="D127" s="6" t="s">
        <v>1219</v>
      </c>
      <c r="E127" s="6" t="s">
        <v>1220</v>
      </c>
      <c r="F127" s="6" t="s">
        <v>1221</v>
      </c>
      <c r="G127" s="6" t="s">
        <v>1222</v>
      </c>
      <c r="H127" s="6" t="s">
        <v>1223</v>
      </c>
      <c r="I127" s="6" t="s">
        <v>1224</v>
      </c>
      <c r="J127" s="6"/>
      <c r="K127" s="6" t="s">
        <v>1225</v>
      </c>
      <c r="L127" s="6" t="s">
        <v>1219</v>
      </c>
      <c r="M127" s="6" t="s">
        <v>1219</v>
      </c>
      <c r="N127" s="6" t="s">
        <v>1220</v>
      </c>
      <c r="O127" s="6" t="s">
        <v>279</v>
      </c>
      <c r="P127" s="6" t="s">
        <v>280</v>
      </c>
      <c r="Q127" s="6" t="s">
        <v>1226</v>
      </c>
      <c r="R127" s="6" t="s">
        <v>282</v>
      </c>
      <c r="S127" s="6"/>
    </row>
    <row r="128" spans="1:19">
      <c r="A128" s="4" t="s">
        <v>1227</v>
      </c>
      <c r="B128" s="5">
        <v>4770</v>
      </c>
      <c r="C128" s="6" t="s">
        <v>20</v>
      </c>
      <c r="D128" s="6" t="s">
        <v>1228</v>
      </c>
      <c r="E128" s="6" t="s">
        <v>1229</v>
      </c>
      <c r="F128" s="6" t="s">
        <v>1230</v>
      </c>
      <c r="G128" s="6" t="s">
        <v>1231</v>
      </c>
      <c r="H128" s="6" t="s">
        <v>1232</v>
      </c>
      <c r="I128" s="6" t="s">
        <v>1233</v>
      </c>
      <c r="J128" s="6"/>
      <c r="K128" s="6"/>
      <c r="L128" s="6" t="s">
        <v>1228</v>
      </c>
      <c r="M128" s="6" t="s">
        <v>1228</v>
      </c>
      <c r="N128" s="6" t="s">
        <v>1229</v>
      </c>
      <c r="O128" s="6" t="s">
        <v>1234</v>
      </c>
      <c r="P128" s="6" t="s">
        <v>1235</v>
      </c>
      <c r="Q128" s="6"/>
      <c r="R128" s="6" t="s">
        <v>169</v>
      </c>
      <c r="S128" s="7" t="s">
        <v>32</v>
      </c>
    </row>
    <row r="129" spans="1:19">
      <c r="A129" s="4" t="s">
        <v>1236</v>
      </c>
      <c r="B129" s="5">
        <v>4307</v>
      </c>
      <c r="C129" s="6" t="s">
        <v>550</v>
      </c>
      <c r="D129" s="6" t="s">
        <v>1237</v>
      </c>
      <c r="E129" s="6" t="s">
        <v>1238</v>
      </c>
      <c r="F129" s="6" t="s">
        <v>1239</v>
      </c>
      <c r="G129" s="6" t="s">
        <v>1240</v>
      </c>
      <c r="H129" s="6" t="s">
        <v>1241</v>
      </c>
      <c r="I129" s="6" t="s">
        <v>1242</v>
      </c>
      <c r="J129" s="6"/>
      <c r="K129" s="6" t="s">
        <v>1243</v>
      </c>
      <c r="L129" s="6" t="s">
        <v>1237</v>
      </c>
      <c r="M129" s="6" t="s">
        <v>1237</v>
      </c>
      <c r="N129" s="6" t="s">
        <v>1238</v>
      </c>
      <c r="O129" s="6" t="s">
        <v>279</v>
      </c>
      <c r="P129" s="6" t="s">
        <v>280</v>
      </c>
      <c r="Q129" s="6" t="s">
        <v>1244</v>
      </c>
      <c r="R129" s="6" t="s">
        <v>282</v>
      </c>
      <c r="S129" s="6"/>
    </row>
    <row r="130" spans="1:19">
      <c r="A130" s="4" t="s">
        <v>1245</v>
      </c>
      <c r="B130" s="5">
        <v>4195</v>
      </c>
      <c r="C130" s="6" t="s">
        <v>305</v>
      </c>
      <c r="D130" s="6" t="s">
        <v>1246</v>
      </c>
      <c r="E130" s="6" t="s">
        <v>1247</v>
      </c>
      <c r="F130" s="6" t="s">
        <v>1248</v>
      </c>
      <c r="G130" s="6" t="s">
        <v>1249</v>
      </c>
      <c r="H130" s="6" t="s">
        <v>1250</v>
      </c>
      <c r="I130" s="6" t="s">
        <v>1251</v>
      </c>
      <c r="J130" s="6"/>
      <c r="K130" s="6" t="s">
        <v>1252</v>
      </c>
      <c r="L130" s="6" t="s">
        <v>1246</v>
      </c>
      <c r="M130" s="6" t="s">
        <v>1246</v>
      </c>
      <c r="N130" s="6" t="s">
        <v>1247</v>
      </c>
      <c r="O130" s="6" t="s">
        <v>279</v>
      </c>
      <c r="P130" s="6" t="s">
        <v>280</v>
      </c>
      <c r="Q130" s="6"/>
      <c r="R130" s="6" t="s">
        <v>282</v>
      </c>
      <c r="S130" s="6"/>
    </row>
    <row r="131" spans="1:19">
      <c r="A131" s="4" t="s">
        <v>1253</v>
      </c>
      <c r="B131" s="5">
        <v>4606</v>
      </c>
      <c r="C131" s="6" t="s">
        <v>62</v>
      </c>
      <c r="D131" s="6" t="s">
        <v>1254</v>
      </c>
      <c r="E131" s="6" t="s">
        <v>1255</v>
      </c>
      <c r="F131" s="6" t="s">
        <v>1256</v>
      </c>
      <c r="G131" s="6" t="s">
        <v>1257</v>
      </c>
      <c r="H131" s="6" t="s">
        <v>1258</v>
      </c>
      <c r="I131" s="6" t="s">
        <v>1259</v>
      </c>
      <c r="J131" s="6"/>
      <c r="K131" s="6"/>
      <c r="L131" s="6" t="s">
        <v>1254</v>
      </c>
      <c r="M131" s="6" t="s">
        <v>1254</v>
      </c>
      <c r="N131" s="6" t="s">
        <v>1255</v>
      </c>
      <c r="O131" s="6" t="s">
        <v>1260</v>
      </c>
      <c r="P131" s="6" t="s">
        <v>1261</v>
      </c>
      <c r="Q131" s="6"/>
      <c r="R131" s="6" t="s">
        <v>169</v>
      </c>
      <c r="S131" s="7" t="s">
        <v>32</v>
      </c>
    </row>
    <row r="132" spans="1:19">
      <c r="A132" s="4" t="s">
        <v>1262</v>
      </c>
      <c r="B132" s="5">
        <v>4639</v>
      </c>
      <c r="C132" s="6" t="s">
        <v>62</v>
      </c>
      <c r="D132" s="6" t="s">
        <v>1263</v>
      </c>
      <c r="E132" s="6" t="s">
        <v>1264</v>
      </c>
      <c r="F132" s="6" t="s">
        <v>1265</v>
      </c>
      <c r="G132" s="6" t="s">
        <v>1257</v>
      </c>
      <c r="H132" s="6" t="s">
        <v>1258</v>
      </c>
      <c r="I132" s="6" t="s">
        <v>1259</v>
      </c>
      <c r="J132" s="6"/>
      <c r="K132" s="6"/>
      <c r="L132" s="6" t="s">
        <v>1263</v>
      </c>
      <c r="M132" s="6" t="s">
        <v>1263</v>
      </c>
      <c r="N132" s="6" t="s">
        <v>1264</v>
      </c>
      <c r="O132" s="6" t="s">
        <v>1266</v>
      </c>
      <c r="P132" s="6" t="s">
        <v>1267</v>
      </c>
      <c r="Q132" s="6"/>
      <c r="R132" s="6" t="s">
        <v>169</v>
      </c>
      <c r="S132" s="7" t="s">
        <v>32</v>
      </c>
    </row>
    <row r="133" spans="1:19">
      <c r="A133" s="4" t="s">
        <v>1268</v>
      </c>
      <c r="B133" s="5">
        <v>4690</v>
      </c>
      <c r="C133" s="6" t="s">
        <v>53</v>
      </c>
      <c r="D133" s="6" t="s">
        <v>1269</v>
      </c>
      <c r="E133" s="6" t="s">
        <v>1270</v>
      </c>
      <c r="F133" s="6" t="s">
        <v>1271</v>
      </c>
      <c r="G133" s="6" t="s">
        <v>1272</v>
      </c>
      <c r="H133" s="6" t="s">
        <v>1273</v>
      </c>
      <c r="I133" s="6" t="s">
        <v>1274</v>
      </c>
      <c r="J133" s="6"/>
      <c r="K133" s="6"/>
      <c r="L133" s="6" t="s">
        <v>1269</v>
      </c>
      <c r="M133" s="6" t="s">
        <v>1269</v>
      </c>
      <c r="N133" s="6" t="s">
        <v>1270</v>
      </c>
      <c r="O133" s="6" t="s">
        <v>1275</v>
      </c>
      <c r="P133" s="6" t="s">
        <v>1276</v>
      </c>
      <c r="Q133" s="6"/>
      <c r="R133" s="6" t="s">
        <v>169</v>
      </c>
      <c r="S133" s="7" t="s">
        <v>32</v>
      </c>
    </row>
    <row r="134" spans="1:19">
      <c r="A134" s="4" t="s">
        <v>1277</v>
      </c>
      <c r="B134" s="5">
        <v>4725</v>
      </c>
      <c r="C134" s="6" t="s">
        <v>53</v>
      </c>
      <c r="D134" s="6" t="s">
        <v>1278</v>
      </c>
      <c r="E134" s="6" t="s">
        <v>1279</v>
      </c>
      <c r="F134" s="6" t="s">
        <v>1280</v>
      </c>
      <c r="G134" s="6" t="s">
        <v>1281</v>
      </c>
      <c r="H134" s="6" t="s">
        <v>1282</v>
      </c>
      <c r="I134" s="6" t="s">
        <v>1283</v>
      </c>
      <c r="J134" s="6"/>
      <c r="K134" s="6"/>
      <c r="L134" s="6" t="s">
        <v>1278</v>
      </c>
      <c r="M134" s="6" t="s">
        <v>1284</v>
      </c>
      <c r="N134" s="6" t="s">
        <v>1279</v>
      </c>
      <c r="O134" s="6" t="s">
        <v>1285</v>
      </c>
      <c r="P134" s="6" t="s">
        <v>1286</v>
      </c>
      <c r="Q134" s="6"/>
      <c r="R134" s="6" t="s">
        <v>169</v>
      </c>
      <c r="S134" s="7" t="s">
        <v>32</v>
      </c>
    </row>
    <row r="135" spans="1:19">
      <c r="A135" s="4" t="s">
        <v>1287</v>
      </c>
      <c r="B135" s="5">
        <v>4138</v>
      </c>
      <c r="C135" s="6" t="s">
        <v>314</v>
      </c>
      <c r="D135" s="6" t="s">
        <v>1288</v>
      </c>
      <c r="E135" s="6" t="s">
        <v>1289</v>
      </c>
      <c r="F135" s="6" t="s">
        <v>1290</v>
      </c>
      <c r="G135" s="6" t="s">
        <v>1291</v>
      </c>
      <c r="H135" s="6" t="s">
        <v>1292</v>
      </c>
      <c r="I135" s="6" t="s">
        <v>1293</v>
      </c>
      <c r="J135" s="6"/>
      <c r="K135" s="6" t="s">
        <v>1294</v>
      </c>
      <c r="L135" s="6" t="s">
        <v>1288</v>
      </c>
      <c r="M135" s="6" t="s">
        <v>1288</v>
      </c>
      <c r="N135" s="6" t="s">
        <v>1289</v>
      </c>
      <c r="O135" s="6" t="s">
        <v>279</v>
      </c>
      <c r="P135" s="6" t="s">
        <v>280</v>
      </c>
      <c r="Q135" s="6" t="s">
        <v>1295</v>
      </c>
      <c r="R135" s="6" t="s">
        <v>282</v>
      </c>
      <c r="S135" s="6"/>
    </row>
    <row r="136" spans="1:19">
      <c r="A136" s="4" t="s">
        <v>1296</v>
      </c>
      <c r="B136" s="5">
        <v>4655</v>
      </c>
      <c r="C136" s="6" t="s">
        <v>43</v>
      </c>
      <c r="D136" s="6" t="s">
        <v>1297</v>
      </c>
      <c r="E136" s="6" t="s">
        <v>1298</v>
      </c>
      <c r="F136" s="6" t="s">
        <v>1299</v>
      </c>
      <c r="G136" s="6" t="s">
        <v>1300</v>
      </c>
      <c r="H136" s="6" t="s">
        <v>1301</v>
      </c>
      <c r="I136" s="6" t="s">
        <v>1302</v>
      </c>
      <c r="J136" s="6"/>
      <c r="K136" s="6"/>
      <c r="L136" s="6" t="s">
        <v>1297</v>
      </c>
      <c r="M136" s="6" t="s">
        <v>1297</v>
      </c>
      <c r="N136" s="6" t="s">
        <v>1298</v>
      </c>
      <c r="O136" s="6" t="s">
        <v>1303</v>
      </c>
      <c r="P136" s="6" t="s">
        <v>1304</v>
      </c>
      <c r="Q136" s="6" t="s">
        <v>1299</v>
      </c>
      <c r="R136" s="6" t="s">
        <v>169</v>
      </c>
      <c r="S136" s="7" t="s">
        <v>32</v>
      </c>
    </row>
    <row r="137" spans="1:19">
      <c r="A137" s="4" t="s">
        <v>1305</v>
      </c>
      <c r="B137" s="5">
        <v>4607</v>
      </c>
      <c r="C137" s="6" t="s">
        <v>53</v>
      </c>
      <c r="D137" s="6" t="s">
        <v>1306</v>
      </c>
      <c r="E137" s="6" t="s">
        <v>1307</v>
      </c>
      <c r="F137" s="6" t="s">
        <v>1308</v>
      </c>
      <c r="G137" s="6" t="s">
        <v>152</v>
      </c>
      <c r="H137" s="6" t="s">
        <v>153</v>
      </c>
      <c r="I137" s="6" t="s">
        <v>1309</v>
      </c>
      <c r="J137" s="6" t="s">
        <v>1310</v>
      </c>
      <c r="K137" s="6" t="s">
        <v>1311</v>
      </c>
      <c r="L137" s="6" t="s">
        <v>1306</v>
      </c>
      <c r="M137" s="6" t="s">
        <v>1306</v>
      </c>
      <c r="N137" s="6" t="s">
        <v>1307</v>
      </c>
      <c r="O137" s="6" t="s">
        <v>1312</v>
      </c>
      <c r="P137" s="6" t="s">
        <v>1313</v>
      </c>
      <c r="Q137" s="6"/>
      <c r="R137" s="6" t="s">
        <v>169</v>
      </c>
      <c r="S137" s="7" t="s">
        <v>32</v>
      </c>
    </row>
    <row r="138" spans="1:19">
      <c r="A138" s="4" t="s">
        <v>1314</v>
      </c>
      <c r="B138" s="5">
        <v>4754</v>
      </c>
      <c r="C138" s="6" t="s">
        <v>53</v>
      </c>
      <c r="D138" s="6" t="s">
        <v>1315</v>
      </c>
      <c r="E138" s="6" t="s">
        <v>1316</v>
      </c>
      <c r="F138" s="6" t="s">
        <v>1317</v>
      </c>
      <c r="G138" s="6" t="s">
        <v>1318</v>
      </c>
      <c r="H138" s="6" t="s">
        <v>1319</v>
      </c>
      <c r="I138" s="6" t="s">
        <v>1320</v>
      </c>
      <c r="J138" s="6"/>
      <c r="K138" s="6" t="s">
        <v>1321</v>
      </c>
      <c r="L138" s="6" t="s">
        <v>1315</v>
      </c>
      <c r="M138" s="6" t="s">
        <v>1315</v>
      </c>
      <c r="N138" s="6" t="s">
        <v>1316</v>
      </c>
      <c r="O138" s="6" t="s">
        <v>1322</v>
      </c>
      <c r="P138" s="6" t="s">
        <v>1323</v>
      </c>
      <c r="Q138" s="6"/>
      <c r="R138" s="6" t="s">
        <v>169</v>
      </c>
      <c r="S138" s="7" t="s">
        <v>32</v>
      </c>
    </row>
    <row r="139" spans="1:19">
      <c r="A139" s="4" t="s">
        <v>1324</v>
      </c>
      <c r="B139" s="5">
        <v>4647</v>
      </c>
      <c r="C139" s="6" t="s">
        <v>53</v>
      </c>
      <c r="D139" s="6" t="s">
        <v>1325</v>
      </c>
      <c r="E139" s="6" t="s">
        <v>1326</v>
      </c>
      <c r="F139" s="10" t="s">
        <v>1327</v>
      </c>
      <c r="G139" s="10" t="s">
        <v>1328</v>
      </c>
      <c r="H139" s="10" t="s">
        <v>1329</v>
      </c>
      <c r="I139" s="15" t="s">
        <v>1330</v>
      </c>
      <c r="J139" s="6"/>
      <c r="K139" s="6"/>
      <c r="L139" s="6" t="s">
        <v>1325</v>
      </c>
      <c r="M139" s="6" t="s">
        <v>1325</v>
      </c>
      <c r="N139" s="6" t="s">
        <v>1326</v>
      </c>
      <c r="O139" s="6" t="s">
        <v>1331</v>
      </c>
      <c r="P139" s="6" t="s">
        <v>1332</v>
      </c>
      <c r="Q139" s="6" t="s">
        <v>1333</v>
      </c>
      <c r="R139" s="6" t="s">
        <v>169</v>
      </c>
      <c r="S139" s="7" t="s">
        <v>32</v>
      </c>
    </row>
    <row r="140" spans="1:19">
      <c r="A140" s="4" t="s">
        <v>1334</v>
      </c>
      <c r="B140" s="5">
        <v>4706</v>
      </c>
      <c r="C140" s="6" t="s">
        <v>62</v>
      </c>
      <c r="D140" s="6" t="s">
        <v>1335</v>
      </c>
      <c r="E140" s="6" t="s">
        <v>1336</v>
      </c>
      <c r="F140" s="6" t="s">
        <v>1337</v>
      </c>
      <c r="G140" s="6" t="s">
        <v>1338</v>
      </c>
      <c r="H140" s="6" t="s">
        <v>1339</v>
      </c>
      <c r="I140" s="6" t="s">
        <v>1340</v>
      </c>
      <c r="J140" s="6"/>
      <c r="K140" s="6"/>
      <c r="L140" s="6" t="s">
        <v>1335</v>
      </c>
      <c r="M140" s="6" t="s">
        <v>1335</v>
      </c>
      <c r="N140" s="6" t="s">
        <v>1336</v>
      </c>
      <c r="O140" s="6" t="s">
        <v>1341</v>
      </c>
      <c r="P140" s="6" t="s">
        <v>1342</v>
      </c>
      <c r="Q140" s="6"/>
      <c r="R140" s="6" t="s">
        <v>169</v>
      </c>
      <c r="S140" s="7" t="s">
        <v>32</v>
      </c>
    </row>
    <row r="141" spans="1:19">
      <c r="A141" s="4" t="s">
        <v>1343</v>
      </c>
      <c r="B141" s="5">
        <v>4150</v>
      </c>
      <c r="C141" s="6" t="s">
        <v>269</v>
      </c>
      <c r="D141" s="6" t="s">
        <v>1344</v>
      </c>
      <c r="E141" s="6" t="s">
        <v>1345</v>
      </c>
      <c r="F141" s="6" t="s">
        <v>1346</v>
      </c>
      <c r="G141" s="6" t="s">
        <v>1347</v>
      </c>
      <c r="H141" s="6" t="s">
        <v>1348</v>
      </c>
      <c r="I141" s="11" t="s">
        <v>1349</v>
      </c>
      <c r="J141" s="6"/>
      <c r="K141" s="6" t="s">
        <v>1350</v>
      </c>
      <c r="L141" s="6" t="s">
        <v>1344</v>
      </c>
      <c r="M141" s="6" t="s">
        <v>1344</v>
      </c>
      <c r="N141" s="6" t="s">
        <v>1345</v>
      </c>
      <c r="O141" s="6" t="s">
        <v>279</v>
      </c>
      <c r="P141" s="6" t="s">
        <v>280</v>
      </c>
      <c r="Q141" s="6" t="s">
        <v>1351</v>
      </c>
      <c r="R141" s="6" t="s">
        <v>282</v>
      </c>
      <c r="S141" s="6"/>
    </row>
    <row r="142" spans="1:19">
      <c r="A142" s="4" t="s">
        <v>1352</v>
      </c>
      <c r="B142" s="5">
        <v>4669</v>
      </c>
      <c r="C142" s="6" t="s">
        <v>53</v>
      </c>
      <c r="D142" s="6" t="s">
        <v>1353</v>
      </c>
      <c r="E142" s="6" t="s">
        <v>1354</v>
      </c>
      <c r="F142" s="6" t="s">
        <v>1355</v>
      </c>
      <c r="G142" s="6" t="s">
        <v>1356</v>
      </c>
      <c r="H142" s="6" t="s">
        <v>1357</v>
      </c>
      <c r="I142" s="6" t="s">
        <v>1358</v>
      </c>
      <c r="J142" s="6" t="s">
        <v>1359</v>
      </c>
      <c r="K142" s="6" t="s">
        <v>1360</v>
      </c>
      <c r="L142" s="6" t="s">
        <v>1353</v>
      </c>
      <c r="M142" s="6" t="s">
        <v>1353</v>
      </c>
      <c r="N142" s="6" t="s">
        <v>1354</v>
      </c>
      <c r="O142" s="6" t="s">
        <v>1361</v>
      </c>
      <c r="P142" s="6" t="s">
        <v>1362</v>
      </c>
      <c r="Q142" s="6" t="s">
        <v>1363</v>
      </c>
      <c r="R142" s="6" t="s">
        <v>169</v>
      </c>
      <c r="S142" s="7" t="s">
        <v>32</v>
      </c>
    </row>
    <row r="143" spans="1:19">
      <c r="A143" s="4" t="s">
        <v>1364</v>
      </c>
      <c r="B143" s="5">
        <v>4629</v>
      </c>
      <c r="C143" s="6" t="s">
        <v>53</v>
      </c>
      <c r="D143" s="6" t="s">
        <v>1365</v>
      </c>
      <c r="E143" s="6" t="s">
        <v>1366</v>
      </c>
      <c r="F143" s="6" t="s">
        <v>1367</v>
      </c>
      <c r="G143" s="6" t="s">
        <v>1368</v>
      </c>
      <c r="H143" s="6" t="s">
        <v>1369</v>
      </c>
      <c r="I143" s="6" t="s">
        <v>1370</v>
      </c>
      <c r="J143" s="6"/>
      <c r="K143" s="6"/>
      <c r="L143" s="6" t="s">
        <v>1365</v>
      </c>
      <c r="M143" s="6" t="s">
        <v>1365</v>
      </c>
      <c r="N143" s="6" t="s">
        <v>1366</v>
      </c>
      <c r="O143" s="6" t="s">
        <v>1371</v>
      </c>
      <c r="P143" s="6" t="s">
        <v>1372</v>
      </c>
      <c r="Q143" s="6"/>
      <c r="R143" s="6" t="s">
        <v>169</v>
      </c>
      <c r="S143" s="7" t="s">
        <v>32</v>
      </c>
    </row>
    <row r="144" spans="1:19">
      <c r="A144" s="4" t="s">
        <v>1373</v>
      </c>
      <c r="B144" s="5">
        <v>4297</v>
      </c>
      <c r="C144" s="6" t="s">
        <v>269</v>
      </c>
      <c r="D144" s="6" t="s">
        <v>1374</v>
      </c>
      <c r="E144" s="6" t="s">
        <v>1375</v>
      </c>
      <c r="F144" s="6" t="s">
        <v>1376</v>
      </c>
      <c r="G144" s="6" t="s">
        <v>1377</v>
      </c>
      <c r="H144" s="6" t="s">
        <v>1378</v>
      </c>
      <c r="I144" s="11" t="s">
        <v>1379</v>
      </c>
      <c r="J144" s="6"/>
      <c r="K144" s="6" t="s">
        <v>1380</v>
      </c>
      <c r="L144" s="6" t="s">
        <v>1374</v>
      </c>
      <c r="M144" s="6" t="s">
        <v>1374</v>
      </c>
      <c r="N144" s="6" t="s">
        <v>1375</v>
      </c>
      <c r="O144" s="6" t="s">
        <v>279</v>
      </c>
      <c r="P144" s="6" t="s">
        <v>280</v>
      </c>
      <c r="Q144" s="6" t="s">
        <v>1381</v>
      </c>
      <c r="R144" s="6" t="s">
        <v>282</v>
      </c>
      <c r="S144" s="6"/>
    </row>
    <row r="145" spans="1:19">
      <c r="A145" s="4" t="s">
        <v>1382</v>
      </c>
      <c r="B145" s="5">
        <v>4196</v>
      </c>
      <c r="C145" s="6" t="s">
        <v>269</v>
      </c>
      <c r="D145" s="6" t="s">
        <v>1383</v>
      </c>
      <c r="E145" s="6" t="s">
        <v>1384</v>
      </c>
      <c r="F145" s="6" t="s">
        <v>1385</v>
      </c>
      <c r="G145" s="6" t="s">
        <v>1386</v>
      </c>
      <c r="H145" s="6" t="s">
        <v>1387</v>
      </c>
      <c r="I145" s="6" t="s">
        <v>1388</v>
      </c>
      <c r="J145" s="6"/>
      <c r="K145" s="6" t="s">
        <v>1389</v>
      </c>
      <c r="L145" s="6" t="s">
        <v>1383</v>
      </c>
      <c r="M145" s="6" t="s">
        <v>1383</v>
      </c>
      <c r="N145" s="6" t="s">
        <v>1384</v>
      </c>
      <c r="O145" s="6" t="s">
        <v>279</v>
      </c>
      <c r="P145" s="6" t="s">
        <v>280</v>
      </c>
      <c r="Q145" s="6" t="s">
        <v>1390</v>
      </c>
      <c r="R145" s="6" t="s">
        <v>282</v>
      </c>
      <c r="S145" s="6"/>
    </row>
    <row r="146" spans="1:19">
      <c r="A146" s="4" t="s">
        <v>1391</v>
      </c>
      <c r="B146" s="5">
        <v>4799</v>
      </c>
      <c r="C146" s="6" t="s">
        <v>53</v>
      </c>
      <c r="D146" s="6" t="s">
        <v>1392</v>
      </c>
      <c r="E146" s="6" t="s">
        <v>1393</v>
      </c>
      <c r="F146" s="6" t="s">
        <v>1394</v>
      </c>
      <c r="G146" s="6" t="s">
        <v>1395</v>
      </c>
      <c r="H146" s="6" t="s">
        <v>1396</v>
      </c>
      <c r="I146" s="6" t="s">
        <v>1397</v>
      </c>
      <c r="J146" s="6"/>
      <c r="K146" s="6"/>
      <c r="L146" s="6" t="s">
        <v>1398</v>
      </c>
      <c r="M146" s="6" t="s">
        <v>1398</v>
      </c>
      <c r="N146" s="6" t="s">
        <v>1393</v>
      </c>
      <c r="O146" s="6" t="s">
        <v>1399</v>
      </c>
      <c r="P146" s="6" t="s">
        <v>1400</v>
      </c>
      <c r="Q146" s="6" t="s">
        <v>1394</v>
      </c>
      <c r="R146" s="6" t="s">
        <v>169</v>
      </c>
      <c r="S146" s="7" t="s">
        <v>32</v>
      </c>
    </row>
    <row r="147" spans="1:19">
      <c r="A147" s="4" t="s">
        <v>1401</v>
      </c>
      <c r="B147" s="5">
        <v>4726</v>
      </c>
      <c r="C147" s="6" t="s">
        <v>43</v>
      </c>
      <c r="D147" s="6" t="s">
        <v>1402</v>
      </c>
      <c r="E147" s="6" t="s">
        <v>1403</v>
      </c>
      <c r="F147" s="6" t="s">
        <v>1404</v>
      </c>
      <c r="G147" s="6" t="s">
        <v>1405</v>
      </c>
      <c r="H147" s="6" t="s">
        <v>1406</v>
      </c>
      <c r="I147" s="6" t="s">
        <v>1407</v>
      </c>
      <c r="J147" s="6"/>
      <c r="K147" s="6"/>
      <c r="L147" s="6" t="s">
        <v>1402</v>
      </c>
      <c r="M147" s="6" t="s">
        <v>1402</v>
      </c>
      <c r="N147" s="6" t="s">
        <v>1403</v>
      </c>
      <c r="O147" s="6" t="s">
        <v>1408</v>
      </c>
      <c r="P147" s="6" t="s">
        <v>1409</v>
      </c>
      <c r="Q147" s="6"/>
      <c r="R147" s="6" t="s">
        <v>169</v>
      </c>
      <c r="S147" s="7" t="s">
        <v>32</v>
      </c>
    </row>
    <row r="148" spans="1:19">
      <c r="A148" s="4" t="s">
        <v>1410</v>
      </c>
      <c r="B148" s="5">
        <v>4633</v>
      </c>
      <c r="C148" s="6" t="s">
        <v>53</v>
      </c>
      <c r="D148" s="6" t="s">
        <v>1411</v>
      </c>
      <c r="E148" s="6" t="s">
        <v>1412</v>
      </c>
      <c r="F148" s="6" t="s">
        <v>1413</v>
      </c>
      <c r="G148" s="6" t="s">
        <v>1414</v>
      </c>
      <c r="H148" s="6" t="s">
        <v>1415</v>
      </c>
      <c r="I148" s="16" t="s">
        <v>1416</v>
      </c>
      <c r="J148" s="6"/>
      <c r="K148" s="6"/>
      <c r="L148" s="6" t="s">
        <v>1411</v>
      </c>
      <c r="M148" s="6" t="s">
        <v>1411</v>
      </c>
      <c r="N148" s="6" t="s">
        <v>1412</v>
      </c>
      <c r="O148" s="6" t="s">
        <v>1121</v>
      </c>
      <c r="P148" s="6" t="s">
        <v>1122</v>
      </c>
      <c r="Q148" s="6"/>
      <c r="R148" s="6" t="s">
        <v>169</v>
      </c>
      <c r="S148" s="7" t="s">
        <v>32</v>
      </c>
    </row>
    <row r="149" spans="1:19">
      <c r="A149" s="4" t="s">
        <v>1417</v>
      </c>
      <c r="B149" s="5">
        <v>4628</v>
      </c>
      <c r="C149" s="6" t="s">
        <v>53</v>
      </c>
      <c r="D149" s="6" t="s">
        <v>1418</v>
      </c>
      <c r="E149" s="6" t="s">
        <v>1419</v>
      </c>
      <c r="F149" s="6" t="s">
        <v>1420</v>
      </c>
      <c r="G149" s="6" t="s">
        <v>1421</v>
      </c>
      <c r="H149" s="6" t="s">
        <v>1422</v>
      </c>
      <c r="I149" s="6" t="s">
        <v>1423</v>
      </c>
      <c r="J149" s="6" t="s">
        <v>1421</v>
      </c>
      <c r="K149" s="6" t="s">
        <v>1424</v>
      </c>
      <c r="L149" s="6" t="s">
        <v>1418</v>
      </c>
      <c r="M149" s="6" t="s">
        <v>1418</v>
      </c>
      <c r="N149" s="6" t="s">
        <v>1419</v>
      </c>
      <c r="O149" s="6" t="s">
        <v>1121</v>
      </c>
      <c r="P149" s="6" t="s">
        <v>1122</v>
      </c>
      <c r="Q149" s="6" t="s">
        <v>1420</v>
      </c>
      <c r="R149" s="6" t="s">
        <v>169</v>
      </c>
      <c r="S149" s="7" t="s">
        <v>32</v>
      </c>
    </row>
    <row r="150" spans="1:19">
      <c r="A150" s="4" t="s">
        <v>1425</v>
      </c>
      <c r="B150" s="5">
        <v>4234</v>
      </c>
      <c r="C150" s="6" t="s">
        <v>269</v>
      </c>
      <c r="D150" s="6" t="s">
        <v>1426</v>
      </c>
      <c r="E150" s="6" t="s">
        <v>1427</v>
      </c>
      <c r="F150" s="6" t="s">
        <v>1428</v>
      </c>
      <c r="G150" s="6" t="s">
        <v>1429</v>
      </c>
      <c r="H150" s="6" t="s">
        <v>1430</v>
      </c>
      <c r="I150" s="6" t="s">
        <v>1431</v>
      </c>
      <c r="J150" s="6"/>
      <c r="K150" s="6" t="s">
        <v>1432</v>
      </c>
      <c r="L150" s="6" t="s">
        <v>1426</v>
      </c>
      <c r="M150" s="6" t="s">
        <v>1426</v>
      </c>
      <c r="N150" s="6" t="s">
        <v>1427</v>
      </c>
      <c r="O150" s="6" t="s">
        <v>279</v>
      </c>
      <c r="P150" s="6" t="s">
        <v>280</v>
      </c>
      <c r="Q150" s="6"/>
      <c r="R150" s="6" t="s">
        <v>282</v>
      </c>
      <c r="S150" s="6"/>
    </row>
    <row r="151" spans="1:19">
      <c r="A151" s="4" t="s">
        <v>1433</v>
      </c>
      <c r="B151" s="5">
        <v>4702</v>
      </c>
      <c r="C151" s="6" t="s">
        <v>53</v>
      </c>
      <c r="D151" s="6" t="s">
        <v>1434</v>
      </c>
      <c r="E151" s="6" t="s">
        <v>1435</v>
      </c>
      <c r="F151" s="6" t="s">
        <v>1436</v>
      </c>
      <c r="G151" s="6" t="s">
        <v>1437</v>
      </c>
      <c r="H151" s="6" t="s">
        <v>1438</v>
      </c>
      <c r="I151" s="6" t="s">
        <v>1439</v>
      </c>
      <c r="J151" s="6" t="s">
        <v>1440</v>
      </c>
      <c r="K151" s="6" t="s">
        <v>1441</v>
      </c>
      <c r="L151" s="6" t="s">
        <v>1434</v>
      </c>
      <c r="M151" s="6" t="s">
        <v>1434</v>
      </c>
      <c r="N151" s="6" t="s">
        <v>1435</v>
      </c>
      <c r="O151" s="6" t="s">
        <v>1442</v>
      </c>
      <c r="P151" s="6" t="s">
        <v>1443</v>
      </c>
      <c r="Q151" s="6" t="s">
        <v>1444</v>
      </c>
      <c r="R151" s="6" t="s">
        <v>169</v>
      </c>
      <c r="S151" s="7" t="s">
        <v>32</v>
      </c>
    </row>
    <row r="152" spans="1:19">
      <c r="A152" s="4" t="s">
        <v>1445</v>
      </c>
      <c r="B152" s="5">
        <v>4785</v>
      </c>
      <c r="C152" s="6" t="s">
        <v>53</v>
      </c>
      <c r="D152" s="6" t="s">
        <v>1446</v>
      </c>
      <c r="E152" s="6" t="s">
        <v>1447</v>
      </c>
      <c r="F152" s="6" t="s">
        <v>1448</v>
      </c>
      <c r="G152" s="6" t="s">
        <v>1449</v>
      </c>
      <c r="H152" s="6" t="s">
        <v>1450</v>
      </c>
      <c r="I152" s="6" t="s">
        <v>1451</v>
      </c>
      <c r="J152" s="6"/>
      <c r="K152" s="6"/>
      <c r="L152" s="6" t="s">
        <v>1446</v>
      </c>
      <c r="M152" s="6" t="s">
        <v>1446</v>
      </c>
      <c r="N152" s="6" t="s">
        <v>1447</v>
      </c>
      <c r="O152" s="6" t="s">
        <v>1452</v>
      </c>
      <c r="P152" s="6" t="s">
        <v>1453</v>
      </c>
      <c r="Q152" s="6" t="s">
        <v>1448</v>
      </c>
      <c r="R152" s="6" t="s">
        <v>169</v>
      </c>
      <c r="S152" s="7" t="s">
        <v>32</v>
      </c>
    </row>
    <row r="153" spans="1:19">
      <c r="A153" s="4" t="s">
        <v>1454</v>
      </c>
      <c r="B153" s="5">
        <v>4683</v>
      </c>
      <c r="C153" s="6" t="s">
        <v>53</v>
      </c>
      <c r="D153" s="6" t="s">
        <v>1455</v>
      </c>
      <c r="E153" s="6" t="s">
        <v>1456</v>
      </c>
      <c r="F153" s="6" t="s">
        <v>1457</v>
      </c>
      <c r="G153" s="6" t="s">
        <v>1458</v>
      </c>
      <c r="H153" s="6" t="s">
        <v>1459</v>
      </c>
      <c r="I153" s="6" t="s">
        <v>1460</v>
      </c>
      <c r="J153" s="6"/>
      <c r="K153" s="6"/>
      <c r="L153" s="6" t="s">
        <v>1455</v>
      </c>
      <c r="M153" s="6" t="s">
        <v>1455</v>
      </c>
      <c r="N153" s="6" t="s">
        <v>1456</v>
      </c>
      <c r="O153" s="6" t="s">
        <v>1461</v>
      </c>
      <c r="P153" s="6" t="s">
        <v>1462</v>
      </c>
      <c r="Q153" s="6"/>
      <c r="R153" s="6" t="s">
        <v>169</v>
      </c>
      <c r="S153" s="7" t="s">
        <v>32</v>
      </c>
    </row>
    <row r="154" spans="1:19">
      <c r="A154" s="4" t="s">
        <v>1463</v>
      </c>
      <c r="B154" s="5">
        <v>4641</v>
      </c>
      <c r="C154" s="6" t="s">
        <v>43</v>
      </c>
      <c r="D154" s="6" t="s">
        <v>1464</v>
      </c>
      <c r="E154" s="6" t="s">
        <v>1465</v>
      </c>
      <c r="F154" s="6" t="s">
        <v>1466</v>
      </c>
      <c r="G154" s="6" t="s">
        <v>1467</v>
      </c>
      <c r="H154" s="6" t="s">
        <v>1468</v>
      </c>
      <c r="I154" s="6" t="s">
        <v>1469</v>
      </c>
      <c r="J154" s="6" t="s">
        <v>1470</v>
      </c>
      <c r="K154" s="6" t="s">
        <v>1471</v>
      </c>
      <c r="L154" s="6" t="s">
        <v>1464</v>
      </c>
      <c r="M154" s="6" t="s">
        <v>1464</v>
      </c>
      <c r="N154" s="6" t="s">
        <v>1465</v>
      </c>
      <c r="O154" s="6" t="s">
        <v>1472</v>
      </c>
      <c r="P154" s="6" t="s">
        <v>1473</v>
      </c>
      <c r="Q154" s="6" t="s">
        <v>1474</v>
      </c>
      <c r="R154" s="6" t="s">
        <v>169</v>
      </c>
      <c r="S154" s="7" t="s">
        <v>32</v>
      </c>
    </row>
    <row r="155" spans="1:19">
      <c r="A155" s="4" t="s">
        <v>1475</v>
      </c>
      <c r="B155" s="5">
        <v>4129</v>
      </c>
      <c r="C155" s="6" t="s">
        <v>269</v>
      </c>
      <c r="D155" s="6" t="s">
        <v>1476</v>
      </c>
      <c r="E155" s="6" t="s">
        <v>1477</v>
      </c>
      <c r="F155" s="6" t="s">
        <v>1478</v>
      </c>
      <c r="G155" s="6" t="s">
        <v>1479</v>
      </c>
      <c r="H155" s="6" t="s">
        <v>1480</v>
      </c>
      <c r="I155" s="6" t="s">
        <v>1481</v>
      </c>
      <c r="J155" s="6"/>
      <c r="K155" s="6" t="s">
        <v>567</v>
      </c>
      <c r="L155" s="6" t="s">
        <v>1476</v>
      </c>
      <c r="M155" s="6" t="s">
        <v>1476</v>
      </c>
      <c r="N155" s="6" t="s">
        <v>1477</v>
      </c>
      <c r="O155" s="6" t="s">
        <v>279</v>
      </c>
      <c r="P155" s="6" t="s">
        <v>280</v>
      </c>
      <c r="Q155" s="6" t="s">
        <v>1482</v>
      </c>
      <c r="R155" s="6" t="s">
        <v>282</v>
      </c>
      <c r="S155" s="6"/>
    </row>
    <row r="156" spans="1:19">
      <c r="A156" s="4" t="s">
        <v>1483</v>
      </c>
      <c r="B156" s="5">
        <v>4216</v>
      </c>
      <c r="C156" s="6" t="s">
        <v>314</v>
      </c>
      <c r="D156" s="6" t="s">
        <v>1484</v>
      </c>
      <c r="E156" s="6" t="s">
        <v>1485</v>
      </c>
      <c r="F156" s="6" t="s">
        <v>1486</v>
      </c>
      <c r="G156" s="6" t="s">
        <v>1487</v>
      </c>
      <c r="H156" s="6" t="s">
        <v>1488</v>
      </c>
      <c r="I156" s="6" t="s">
        <v>1489</v>
      </c>
      <c r="J156" s="6"/>
      <c r="K156" s="6" t="s">
        <v>1490</v>
      </c>
      <c r="L156" s="6" t="s">
        <v>1484</v>
      </c>
      <c r="M156" s="6" t="s">
        <v>1484</v>
      </c>
      <c r="N156" s="6" t="s">
        <v>1485</v>
      </c>
      <c r="O156" s="6" t="s">
        <v>279</v>
      </c>
      <c r="P156" s="6" t="s">
        <v>280</v>
      </c>
      <c r="Q156" s="6"/>
      <c r="R156" s="6" t="s">
        <v>282</v>
      </c>
      <c r="S156" s="6"/>
    </row>
    <row r="157" spans="1:19">
      <c r="A157" s="4" t="s">
        <v>1491</v>
      </c>
      <c r="B157" s="5">
        <v>4127</v>
      </c>
      <c r="C157" s="6" t="s">
        <v>269</v>
      </c>
      <c r="D157" s="6" t="s">
        <v>1492</v>
      </c>
      <c r="E157" s="6" t="s">
        <v>1493</v>
      </c>
      <c r="F157" s="6" t="s">
        <v>1494</v>
      </c>
      <c r="G157" s="6" t="s">
        <v>1495</v>
      </c>
      <c r="H157" s="6" t="s">
        <v>1496</v>
      </c>
      <c r="I157" s="6" t="s">
        <v>1497</v>
      </c>
      <c r="J157" s="6"/>
      <c r="K157" s="6" t="s">
        <v>1498</v>
      </c>
      <c r="L157" s="6" t="s">
        <v>1492</v>
      </c>
      <c r="M157" s="6" t="s">
        <v>1499</v>
      </c>
      <c r="N157" s="6" t="s">
        <v>1493</v>
      </c>
      <c r="O157" s="6" t="s">
        <v>279</v>
      </c>
      <c r="P157" s="6" t="s">
        <v>280</v>
      </c>
      <c r="Q157" s="6" t="s">
        <v>1500</v>
      </c>
      <c r="R157" s="6" t="s">
        <v>282</v>
      </c>
      <c r="S157" s="6"/>
    </row>
    <row r="158" spans="1:19">
      <c r="A158" s="4" t="s">
        <v>1501</v>
      </c>
      <c r="B158" s="5">
        <v>4162</v>
      </c>
      <c r="C158" s="6" t="s">
        <v>269</v>
      </c>
      <c r="D158" s="6" t="s">
        <v>1502</v>
      </c>
      <c r="E158" s="6" t="s">
        <v>1503</v>
      </c>
      <c r="F158" s="6" t="s">
        <v>1504</v>
      </c>
      <c r="G158" s="6" t="s">
        <v>1505</v>
      </c>
      <c r="H158" s="6" t="s">
        <v>1506</v>
      </c>
      <c r="I158" s="6" t="s">
        <v>1507</v>
      </c>
      <c r="J158" s="6"/>
      <c r="K158" s="6" t="s">
        <v>1508</v>
      </c>
      <c r="L158" s="6" t="s">
        <v>1502</v>
      </c>
      <c r="M158" s="6" t="s">
        <v>1509</v>
      </c>
      <c r="N158" s="6" t="s">
        <v>1503</v>
      </c>
      <c r="O158" s="6" t="s">
        <v>279</v>
      </c>
      <c r="P158" s="6" t="s">
        <v>280</v>
      </c>
      <c r="Q158" s="6" t="s">
        <v>1504</v>
      </c>
      <c r="R158" s="6" t="s">
        <v>282</v>
      </c>
      <c r="S158" s="6"/>
    </row>
    <row r="159" spans="1:19">
      <c r="A159" s="4" t="s">
        <v>1510</v>
      </c>
      <c r="B159" s="5">
        <v>4608</v>
      </c>
      <c r="C159" s="6" t="s">
        <v>53</v>
      </c>
      <c r="D159" s="6" t="s">
        <v>1511</v>
      </c>
      <c r="E159" s="6" t="s">
        <v>1512</v>
      </c>
      <c r="F159" s="6" t="s">
        <v>1513</v>
      </c>
      <c r="G159" s="6" t="s">
        <v>152</v>
      </c>
      <c r="H159" s="6" t="s">
        <v>153</v>
      </c>
      <c r="I159" s="6" t="s">
        <v>1514</v>
      </c>
      <c r="J159" s="6" t="s">
        <v>1515</v>
      </c>
      <c r="K159" s="6" t="s">
        <v>1516</v>
      </c>
      <c r="L159" s="6" t="s">
        <v>1511</v>
      </c>
      <c r="M159" s="6" t="s">
        <v>1511</v>
      </c>
      <c r="N159" s="6" t="s">
        <v>1512</v>
      </c>
      <c r="O159" s="6" t="s">
        <v>1517</v>
      </c>
      <c r="P159" s="6" t="s">
        <v>1518</v>
      </c>
      <c r="Q159" s="6" t="s">
        <v>1519</v>
      </c>
      <c r="R159" s="6" t="s">
        <v>169</v>
      </c>
      <c r="S159" s="7" t="s">
        <v>32</v>
      </c>
    </row>
    <row r="160" spans="1:19">
      <c r="A160" s="4" t="s">
        <v>1520</v>
      </c>
      <c r="B160" s="5">
        <v>4229</v>
      </c>
      <c r="C160" s="6" t="s">
        <v>269</v>
      </c>
      <c r="D160" s="6" t="s">
        <v>1521</v>
      </c>
      <c r="E160" s="6" t="s">
        <v>1522</v>
      </c>
      <c r="F160" s="6" t="s">
        <v>1523</v>
      </c>
      <c r="G160" s="6" t="s">
        <v>1524</v>
      </c>
      <c r="H160" s="6" t="s">
        <v>1525</v>
      </c>
      <c r="I160" s="6" t="s">
        <v>1526</v>
      </c>
      <c r="J160" s="6"/>
      <c r="K160" s="6" t="s">
        <v>1527</v>
      </c>
      <c r="L160" s="6" t="s">
        <v>1528</v>
      </c>
      <c r="M160" s="6" t="s">
        <v>1521</v>
      </c>
      <c r="N160" s="6" t="s">
        <v>1522</v>
      </c>
      <c r="O160" s="6" t="s">
        <v>279</v>
      </c>
      <c r="P160" s="6" t="s">
        <v>280</v>
      </c>
      <c r="Q160" s="6" t="s">
        <v>1523</v>
      </c>
      <c r="R160" s="6" t="s">
        <v>282</v>
      </c>
      <c r="S160" s="6"/>
    </row>
    <row r="161" spans="1:19">
      <c r="A161" s="4" t="s">
        <v>1529</v>
      </c>
      <c r="B161" s="5">
        <v>4190</v>
      </c>
      <c r="C161" s="6" t="s">
        <v>269</v>
      </c>
      <c r="D161" s="6" t="s">
        <v>1530</v>
      </c>
      <c r="E161" s="6" t="s">
        <v>1531</v>
      </c>
      <c r="F161" s="6" t="s">
        <v>1532</v>
      </c>
      <c r="G161" s="6" t="s">
        <v>1533</v>
      </c>
      <c r="H161" s="6" t="s">
        <v>1534</v>
      </c>
      <c r="I161" s="11" t="s">
        <v>1535</v>
      </c>
      <c r="J161" s="6"/>
      <c r="K161" s="6" t="s">
        <v>1536</v>
      </c>
      <c r="L161" s="6" t="s">
        <v>1537</v>
      </c>
      <c r="M161" s="6" t="s">
        <v>1530</v>
      </c>
      <c r="N161" s="6" t="s">
        <v>1531</v>
      </c>
      <c r="O161" s="6" t="s">
        <v>279</v>
      </c>
      <c r="P161" s="6" t="s">
        <v>280</v>
      </c>
      <c r="Q161" s="6" t="s">
        <v>1538</v>
      </c>
      <c r="R161" s="6" t="s">
        <v>282</v>
      </c>
      <c r="S161" s="6"/>
    </row>
    <row r="162" spans="1:19">
      <c r="A162" s="4" t="s">
        <v>1539</v>
      </c>
      <c r="B162" s="5">
        <v>4273</v>
      </c>
      <c r="C162" s="6" t="s">
        <v>314</v>
      </c>
      <c r="D162" s="6" t="s">
        <v>1540</v>
      </c>
      <c r="E162" s="6" t="s">
        <v>1541</v>
      </c>
      <c r="F162" s="6" t="s">
        <v>1542</v>
      </c>
      <c r="G162" s="6" t="s">
        <v>1543</v>
      </c>
      <c r="H162" s="6" t="s">
        <v>1544</v>
      </c>
      <c r="I162" s="6" t="s">
        <v>1545</v>
      </c>
      <c r="J162" s="6"/>
      <c r="K162" s="6" t="s">
        <v>1546</v>
      </c>
      <c r="L162" s="6" t="s">
        <v>1540</v>
      </c>
      <c r="M162" s="6" t="s">
        <v>1540</v>
      </c>
      <c r="N162" s="6" t="s">
        <v>1541</v>
      </c>
      <c r="O162" s="6" t="s">
        <v>279</v>
      </c>
      <c r="P162" s="6" t="s">
        <v>280</v>
      </c>
      <c r="Q162" s="6"/>
      <c r="R162" s="6" t="s">
        <v>282</v>
      </c>
      <c r="S162" s="6"/>
    </row>
    <row r="163" spans="1:19">
      <c r="A163" s="4" t="s">
        <v>1547</v>
      </c>
      <c r="B163" s="5">
        <v>4684</v>
      </c>
      <c r="C163" s="6" t="s">
        <v>103</v>
      </c>
      <c r="D163" s="6" t="s">
        <v>1548</v>
      </c>
      <c r="E163" s="6" t="s">
        <v>1549</v>
      </c>
      <c r="F163" s="6" t="s">
        <v>1550</v>
      </c>
      <c r="G163" s="6" t="s">
        <v>1551</v>
      </c>
      <c r="H163" s="6" t="s">
        <v>1552</v>
      </c>
      <c r="I163" s="6" t="s">
        <v>1553</v>
      </c>
      <c r="J163" s="6" t="s">
        <v>1554</v>
      </c>
      <c r="K163" s="6" t="s">
        <v>1555</v>
      </c>
      <c r="L163" s="6" t="s">
        <v>1548</v>
      </c>
      <c r="M163" s="6" t="s">
        <v>1548</v>
      </c>
      <c r="N163" s="6" t="s">
        <v>1549</v>
      </c>
      <c r="O163" s="6" t="s">
        <v>1556</v>
      </c>
      <c r="P163" s="6" t="s">
        <v>1557</v>
      </c>
      <c r="Q163" s="6" t="s">
        <v>1558</v>
      </c>
      <c r="R163" s="6" t="s">
        <v>169</v>
      </c>
      <c r="S163" s="7" t="s">
        <v>32</v>
      </c>
    </row>
    <row r="164" spans="1:19">
      <c r="A164" s="4" t="s">
        <v>1559</v>
      </c>
      <c r="B164" s="5">
        <v>4658</v>
      </c>
      <c r="C164" s="6" t="s">
        <v>43</v>
      </c>
      <c r="D164" s="6" t="s">
        <v>1560</v>
      </c>
      <c r="E164" s="6" t="s">
        <v>1561</v>
      </c>
      <c r="F164" s="6" t="s">
        <v>1562</v>
      </c>
      <c r="G164" s="6" t="s">
        <v>1467</v>
      </c>
      <c r="H164" s="6" t="s">
        <v>1563</v>
      </c>
      <c r="I164" s="6" t="s">
        <v>1564</v>
      </c>
      <c r="J164" s="6" t="s">
        <v>1565</v>
      </c>
      <c r="K164" s="6" t="s">
        <v>1566</v>
      </c>
      <c r="L164" s="6" t="s">
        <v>1560</v>
      </c>
      <c r="M164" s="6" t="s">
        <v>1560</v>
      </c>
      <c r="N164" s="6" t="s">
        <v>1561</v>
      </c>
      <c r="O164" s="6" t="s">
        <v>1567</v>
      </c>
      <c r="P164" s="6" t="s">
        <v>1568</v>
      </c>
      <c r="Q164" s="6" t="s">
        <v>1569</v>
      </c>
      <c r="R164" s="6" t="s">
        <v>169</v>
      </c>
      <c r="S164" s="7" t="s">
        <v>32</v>
      </c>
    </row>
    <row r="165" spans="1:19">
      <c r="A165" s="8" t="s">
        <v>1570</v>
      </c>
      <c r="B165" s="9">
        <v>4938</v>
      </c>
      <c r="C165" s="10" t="s">
        <v>53</v>
      </c>
      <c r="D165" s="10" t="s">
        <v>1571</v>
      </c>
      <c r="E165" s="10" t="s">
        <v>1572</v>
      </c>
      <c r="F165" s="10" t="s">
        <v>1573</v>
      </c>
      <c r="G165" s="10" t="s">
        <v>1022</v>
      </c>
      <c r="H165" s="10" t="s">
        <v>153</v>
      </c>
      <c r="I165" s="10" t="s">
        <v>1574</v>
      </c>
      <c r="J165" s="10" t="s">
        <v>1575</v>
      </c>
      <c r="K165" s="10" t="s">
        <v>1576</v>
      </c>
      <c r="L165" s="10" t="s">
        <v>1571</v>
      </c>
      <c r="M165" s="10" t="s">
        <v>1571</v>
      </c>
      <c r="N165" s="10" t="s">
        <v>1572</v>
      </c>
      <c r="O165" s="10" t="s">
        <v>1025</v>
      </c>
      <c r="P165" s="10" t="s">
        <v>1577</v>
      </c>
      <c r="Q165" s="10"/>
      <c r="R165" s="10" t="s">
        <v>169</v>
      </c>
      <c r="S165" s="17" t="s">
        <v>32</v>
      </c>
    </row>
    <row r="166" spans="1:19">
      <c r="A166" s="4" t="s">
        <v>1578</v>
      </c>
      <c r="B166" s="5">
        <v>4623</v>
      </c>
      <c r="C166" s="6" t="s">
        <v>53</v>
      </c>
      <c r="D166" s="6" t="s">
        <v>1579</v>
      </c>
      <c r="E166" s="6" t="s">
        <v>1580</v>
      </c>
      <c r="F166" s="6" t="s">
        <v>1581</v>
      </c>
      <c r="G166" s="6" t="s">
        <v>1582</v>
      </c>
      <c r="H166" s="6" t="s">
        <v>1583</v>
      </c>
      <c r="I166" s="6" t="s">
        <v>1584</v>
      </c>
      <c r="J166" s="6"/>
      <c r="K166" s="6"/>
      <c r="L166" s="6" t="s">
        <v>1579</v>
      </c>
      <c r="M166" s="6" t="s">
        <v>1579</v>
      </c>
      <c r="N166" s="6" t="s">
        <v>1580</v>
      </c>
      <c r="O166" s="6" t="s">
        <v>1585</v>
      </c>
      <c r="P166" s="6" t="s">
        <v>1586</v>
      </c>
      <c r="Q166" s="6"/>
      <c r="R166" s="6" t="s">
        <v>169</v>
      </c>
      <c r="S166" s="7" t="s">
        <v>32</v>
      </c>
    </row>
    <row r="167" spans="1:19">
      <c r="A167" s="4" t="s">
        <v>1587</v>
      </c>
      <c r="B167" s="5">
        <v>4781</v>
      </c>
      <c r="C167" s="6" t="s">
        <v>43</v>
      </c>
      <c r="D167" s="6" t="s">
        <v>1588</v>
      </c>
      <c r="E167" s="6" t="s">
        <v>1589</v>
      </c>
      <c r="F167" s="6" t="s">
        <v>1590</v>
      </c>
      <c r="G167" s="6" t="s">
        <v>1591</v>
      </c>
      <c r="H167" s="6" t="s">
        <v>1592</v>
      </c>
      <c r="I167" s="6" t="s">
        <v>1593</v>
      </c>
      <c r="J167" s="6" t="s">
        <v>1591</v>
      </c>
      <c r="K167" s="6" t="s">
        <v>1592</v>
      </c>
      <c r="L167" s="6" t="s">
        <v>1594</v>
      </c>
      <c r="M167" s="6" t="s">
        <v>1595</v>
      </c>
      <c r="N167" s="6" t="s">
        <v>1589</v>
      </c>
      <c r="O167" s="6" t="s">
        <v>1596</v>
      </c>
      <c r="P167" s="6" t="s">
        <v>1597</v>
      </c>
      <c r="Q167" s="6"/>
      <c r="R167" s="6" t="s">
        <v>207</v>
      </c>
      <c r="S167" s="6"/>
    </row>
    <row r="168" spans="1:19">
      <c r="A168" s="4" t="s">
        <v>1598</v>
      </c>
      <c r="B168" s="5">
        <v>4147</v>
      </c>
      <c r="C168" s="6" t="s">
        <v>269</v>
      </c>
      <c r="D168" s="6" t="s">
        <v>1599</v>
      </c>
      <c r="E168" s="6" t="s">
        <v>1600</v>
      </c>
      <c r="F168" s="6" t="s">
        <v>1601</v>
      </c>
      <c r="G168" s="6" t="s">
        <v>1602</v>
      </c>
      <c r="H168" s="6" t="s">
        <v>1603</v>
      </c>
      <c r="I168" s="6" t="s">
        <v>1604</v>
      </c>
      <c r="J168" s="6"/>
      <c r="K168" s="6" t="s">
        <v>1605</v>
      </c>
      <c r="L168" s="6" t="s">
        <v>1599</v>
      </c>
      <c r="M168" s="6" t="s">
        <v>1606</v>
      </c>
      <c r="N168" s="6" t="s">
        <v>1600</v>
      </c>
      <c r="O168" s="6" t="s">
        <v>279</v>
      </c>
      <c r="P168" s="6" t="s">
        <v>280</v>
      </c>
      <c r="Q168" s="6" t="s">
        <v>1607</v>
      </c>
      <c r="R168" s="6" t="s">
        <v>282</v>
      </c>
      <c r="S168" s="6"/>
    </row>
    <row r="169" spans="1:19">
      <c r="A169" s="4" t="s">
        <v>1608</v>
      </c>
      <c r="B169" s="5">
        <v>4772</v>
      </c>
      <c r="C169" s="6" t="s">
        <v>43</v>
      </c>
      <c r="D169" s="6" t="s">
        <v>1609</v>
      </c>
      <c r="E169" s="6" t="s">
        <v>1610</v>
      </c>
      <c r="F169" s="6" t="s">
        <v>1611</v>
      </c>
      <c r="G169" s="6" t="s">
        <v>1612</v>
      </c>
      <c r="H169" s="6" t="s">
        <v>1613</v>
      </c>
      <c r="I169" s="6" t="s">
        <v>1614</v>
      </c>
      <c r="J169" s="6"/>
      <c r="K169" s="6"/>
      <c r="L169" s="6" t="s">
        <v>1609</v>
      </c>
      <c r="M169" s="6" t="s">
        <v>1609</v>
      </c>
      <c r="N169" s="6" t="s">
        <v>1610</v>
      </c>
      <c r="O169" s="6" t="s">
        <v>1615</v>
      </c>
      <c r="P169" s="6" t="s">
        <v>1616</v>
      </c>
      <c r="Q169" s="6"/>
      <c r="R169" s="6" t="s">
        <v>169</v>
      </c>
      <c r="S169" s="7" t="s">
        <v>32</v>
      </c>
    </row>
    <row r="170" spans="1:19">
      <c r="A170" s="4" t="s">
        <v>1617</v>
      </c>
      <c r="B170" s="5">
        <v>4168</v>
      </c>
      <c r="C170" s="6" t="s">
        <v>314</v>
      </c>
      <c r="D170" s="6" t="s">
        <v>1618</v>
      </c>
      <c r="E170" s="6" t="s">
        <v>1619</v>
      </c>
      <c r="F170" s="6" t="s">
        <v>1620</v>
      </c>
      <c r="G170" s="6" t="s">
        <v>1621</v>
      </c>
      <c r="H170" s="6" t="s">
        <v>1622</v>
      </c>
      <c r="I170" s="6" t="s">
        <v>1623</v>
      </c>
      <c r="J170" s="6"/>
      <c r="K170" s="6" t="s">
        <v>1624</v>
      </c>
      <c r="L170" s="6" t="s">
        <v>1618</v>
      </c>
      <c r="M170" s="6" t="s">
        <v>1625</v>
      </c>
      <c r="N170" s="6" t="s">
        <v>1619</v>
      </c>
      <c r="O170" s="6" t="s">
        <v>279</v>
      </c>
      <c r="P170" s="6" t="s">
        <v>280</v>
      </c>
      <c r="Q170" s="6" t="s">
        <v>1620</v>
      </c>
      <c r="R170" s="6" t="s">
        <v>282</v>
      </c>
      <c r="S170" s="6"/>
    </row>
    <row r="171" spans="1:19">
      <c r="A171" s="4" t="s">
        <v>1626</v>
      </c>
      <c r="B171" s="5">
        <v>4566</v>
      </c>
      <c r="C171" s="6" t="s">
        <v>53</v>
      </c>
      <c r="D171" s="6" t="s">
        <v>1627</v>
      </c>
      <c r="E171" s="6" t="s">
        <v>1628</v>
      </c>
      <c r="F171" s="6" t="s">
        <v>1629</v>
      </c>
      <c r="G171" s="6" t="s">
        <v>1630</v>
      </c>
      <c r="H171" s="6" t="s">
        <v>1631</v>
      </c>
      <c r="I171" s="6" t="s">
        <v>1632</v>
      </c>
      <c r="J171" s="6"/>
      <c r="K171" s="6"/>
      <c r="L171" s="6" t="s">
        <v>1633</v>
      </c>
      <c r="M171" s="6" t="s">
        <v>1627</v>
      </c>
      <c r="N171" s="6" t="s">
        <v>1628</v>
      </c>
      <c r="O171" s="6" t="s">
        <v>1634</v>
      </c>
      <c r="P171" s="6" t="s">
        <v>1635</v>
      </c>
      <c r="Q171" s="6"/>
      <c r="R171" s="6" t="s">
        <v>169</v>
      </c>
      <c r="S171" s="7" t="s">
        <v>32</v>
      </c>
    </row>
    <row r="172" spans="1:19">
      <c r="A172" s="4" t="s">
        <v>1636</v>
      </c>
      <c r="B172" s="5">
        <v>4573</v>
      </c>
      <c r="C172" s="6" t="s">
        <v>62</v>
      </c>
      <c r="D172" s="6" t="s">
        <v>1637</v>
      </c>
      <c r="E172" s="6" t="s">
        <v>1638</v>
      </c>
      <c r="F172" s="6" t="s">
        <v>1639</v>
      </c>
      <c r="G172" s="6" t="s">
        <v>1338</v>
      </c>
      <c r="H172" s="6" t="s">
        <v>1339</v>
      </c>
      <c r="I172" s="6" t="s">
        <v>1340</v>
      </c>
      <c r="J172" s="6" t="s">
        <v>1640</v>
      </c>
      <c r="K172" s="6" t="s">
        <v>1641</v>
      </c>
      <c r="L172" s="6" t="s">
        <v>1637</v>
      </c>
      <c r="M172" s="6" t="s">
        <v>1637</v>
      </c>
      <c r="N172" s="6" t="s">
        <v>1638</v>
      </c>
      <c r="O172" s="6" t="s">
        <v>1642</v>
      </c>
      <c r="P172" s="6" t="s">
        <v>1643</v>
      </c>
      <c r="Q172" s="6" t="s">
        <v>1644</v>
      </c>
      <c r="R172" s="6" t="s">
        <v>169</v>
      </c>
      <c r="S172" s="7" t="s">
        <v>32</v>
      </c>
    </row>
    <row r="173" spans="1:19">
      <c r="A173" s="4" t="s">
        <v>1645</v>
      </c>
      <c r="B173" s="5">
        <v>4689</v>
      </c>
      <c r="C173" s="6" t="s">
        <v>20</v>
      </c>
      <c r="D173" s="6" t="s">
        <v>1646</v>
      </c>
      <c r="E173" s="6" t="s">
        <v>1647</v>
      </c>
      <c r="F173" s="6" t="s">
        <v>1648</v>
      </c>
      <c r="G173" s="6" t="s">
        <v>1649</v>
      </c>
      <c r="H173" s="6" t="s">
        <v>1650</v>
      </c>
      <c r="I173" s="6" t="s">
        <v>1651</v>
      </c>
      <c r="J173" s="6"/>
      <c r="K173" s="6"/>
      <c r="L173" s="6" t="s">
        <v>1646</v>
      </c>
      <c r="M173" s="6" t="s">
        <v>1646</v>
      </c>
      <c r="N173" s="6" t="s">
        <v>1647</v>
      </c>
      <c r="O173" s="6" t="s">
        <v>1652</v>
      </c>
      <c r="P173" s="6" t="s">
        <v>1653</v>
      </c>
      <c r="Q173" s="6"/>
      <c r="R173" s="6" t="s">
        <v>169</v>
      </c>
      <c r="S173" s="7" t="s">
        <v>32</v>
      </c>
    </row>
    <row r="174" spans="1:19">
      <c r="A174" s="4" t="s">
        <v>1654</v>
      </c>
      <c r="B174" s="5">
        <v>4507</v>
      </c>
      <c r="C174" s="6" t="s">
        <v>20</v>
      </c>
      <c r="D174" s="6" t="s">
        <v>1655</v>
      </c>
      <c r="E174" s="6" t="s">
        <v>1656</v>
      </c>
      <c r="F174" s="6" t="s">
        <v>1657</v>
      </c>
      <c r="G174" s="6" t="s">
        <v>1191</v>
      </c>
      <c r="H174" s="6" t="s">
        <v>1192</v>
      </c>
      <c r="I174" s="6" t="s">
        <v>1193</v>
      </c>
      <c r="J174" s="6"/>
      <c r="K174" s="6"/>
      <c r="L174" s="6" t="s">
        <v>1655</v>
      </c>
      <c r="M174" s="6" t="s">
        <v>1655</v>
      </c>
      <c r="N174" s="6" t="s">
        <v>1656</v>
      </c>
      <c r="O174" s="6" t="s">
        <v>1658</v>
      </c>
      <c r="P174" s="6" t="s">
        <v>1659</v>
      </c>
      <c r="Q174" s="6" t="s">
        <v>1660</v>
      </c>
      <c r="R174" s="6" t="s">
        <v>169</v>
      </c>
      <c r="S174" s="7" t="s">
        <v>32</v>
      </c>
    </row>
    <row r="175" spans="1:19">
      <c r="A175" s="4" t="s">
        <v>1661</v>
      </c>
      <c r="B175" s="5">
        <v>4672</v>
      </c>
      <c r="C175" s="6" t="s">
        <v>43</v>
      </c>
      <c r="D175" s="6" t="s">
        <v>1662</v>
      </c>
      <c r="E175" s="6" t="s">
        <v>1663</v>
      </c>
      <c r="F175" s="6" t="s">
        <v>1664</v>
      </c>
      <c r="G175" s="6" t="s">
        <v>1665</v>
      </c>
      <c r="H175" s="6" t="s">
        <v>1666</v>
      </c>
      <c r="I175" s="6" t="s">
        <v>1129</v>
      </c>
      <c r="J175" s="6"/>
      <c r="K175" s="6"/>
      <c r="L175" s="6" t="s">
        <v>1662</v>
      </c>
      <c r="M175" s="6" t="s">
        <v>1662</v>
      </c>
      <c r="N175" s="6" t="s">
        <v>1663</v>
      </c>
      <c r="O175" s="6" t="s">
        <v>1667</v>
      </c>
      <c r="P175" s="6" t="s">
        <v>1668</v>
      </c>
      <c r="Q175" s="6"/>
      <c r="R175" s="6" t="s">
        <v>169</v>
      </c>
      <c r="S175" s="7" t="s">
        <v>32</v>
      </c>
    </row>
    <row r="176" spans="1:19">
      <c r="A176" s="4" t="s">
        <v>1669</v>
      </c>
      <c r="B176" s="5">
        <v>4640</v>
      </c>
      <c r="C176" s="6" t="s">
        <v>43</v>
      </c>
      <c r="D176" s="6" t="s">
        <v>1670</v>
      </c>
      <c r="E176" s="6" t="s">
        <v>1671</v>
      </c>
      <c r="F176" s="6" t="s">
        <v>1672</v>
      </c>
      <c r="G176" s="6" t="s">
        <v>1673</v>
      </c>
      <c r="H176" s="6" t="s">
        <v>1468</v>
      </c>
      <c r="I176" s="6" t="s">
        <v>1674</v>
      </c>
      <c r="J176" s="6" t="s">
        <v>1470</v>
      </c>
      <c r="K176" s="6" t="s">
        <v>1471</v>
      </c>
      <c r="L176" s="6" t="s">
        <v>1670</v>
      </c>
      <c r="M176" s="6" t="s">
        <v>1670</v>
      </c>
      <c r="N176" s="6" t="s">
        <v>1671</v>
      </c>
      <c r="O176" s="6" t="s">
        <v>1675</v>
      </c>
      <c r="P176" s="6" t="s">
        <v>1676</v>
      </c>
      <c r="Q176" s="6" t="s">
        <v>1672</v>
      </c>
      <c r="R176" s="6" t="s">
        <v>169</v>
      </c>
      <c r="S176" s="7" t="s">
        <v>32</v>
      </c>
    </row>
    <row r="177" spans="1:19">
      <c r="A177" s="4" t="s">
        <v>1677</v>
      </c>
      <c r="B177" s="5">
        <v>4599</v>
      </c>
      <c r="C177" s="6" t="s">
        <v>103</v>
      </c>
      <c r="D177" s="6" t="s">
        <v>1678</v>
      </c>
      <c r="E177" s="6" t="s">
        <v>1679</v>
      </c>
      <c r="F177" s="6" t="s">
        <v>1680</v>
      </c>
      <c r="G177" s="6" t="s">
        <v>1681</v>
      </c>
      <c r="H177" s="6" t="s">
        <v>1682</v>
      </c>
      <c r="I177" s="6" t="s">
        <v>1683</v>
      </c>
      <c r="J177" s="6"/>
      <c r="K177" s="6"/>
      <c r="L177" s="6" t="s">
        <v>1678</v>
      </c>
      <c r="M177" s="6" t="s">
        <v>1678</v>
      </c>
      <c r="N177" s="6" t="s">
        <v>1679</v>
      </c>
      <c r="O177" s="6" t="s">
        <v>1684</v>
      </c>
      <c r="P177" s="6" t="s">
        <v>1685</v>
      </c>
      <c r="Q177" s="6"/>
      <c r="R177" s="6" t="s">
        <v>169</v>
      </c>
      <c r="S177" s="7" t="s">
        <v>32</v>
      </c>
    </row>
    <row r="178" spans="1:19">
      <c r="A178" s="4" t="s">
        <v>1686</v>
      </c>
      <c r="B178" s="5">
        <v>4695</v>
      </c>
      <c r="C178" s="6" t="s">
        <v>103</v>
      </c>
      <c r="D178" s="6" t="s">
        <v>1687</v>
      </c>
      <c r="E178" s="6" t="s">
        <v>1688</v>
      </c>
      <c r="F178" s="6" t="s">
        <v>1689</v>
      </c>
      <c r="G178" s="6" t="s">
        <v>1690</v>
      </c>
      <c r="H178" s="6" t="s">
        <v>1691</v>
      </c>
      <c r="I178" s="6" t="s">
        <v>1692</v>
      </c>
      <c r="J178" s="6"/>
      <c r="K178" s="6"/>
      <c r="L178" s="6" t="s">
        <v>1687</v>
      </c>
      <c r="M178" s="6" t="s">
        <v>1687</v>
      </c>
      <c r="N178" s="6" t="s">
        <v>1688</v>
      </c>
      <c r="O178" s="6" t="s">
        <v>1693</v>
      </c>
      <c r="P178" s="6" t="s">
        <v>1694</v>
      </c>
      <c r="Q178" s="6" t="s">
        <v>1695</v>
      </c>
      <c r="R178" s="6" t="s">
        <v>169</v>
      </c>
      <c r="S178" s="7" t="s">
        <v>32</v>
      </c>
    </row>
    <row r="179" spans="1:19">
      <c r="A179" s="4" t="s">
        <v>1696</v>
      </c>
      <c r="B179" s="5">
        <v>4775</v>
      </c>
      <c r="C179" s="6" t="s">
        <v>62</v>
      </c>
      <c r="D179" s="6" t="s">
        <v>1697</v>
      </c>
      <c r="E179" s="6" t="s">
        <v>1698</v>
      </c>
      <c r="F179" s="6" t="s">
        <v>1699</v>
      </c>
      <c r="G179" s="6" t="s">
        <v>1700</v>
      </c>
      <c r="H179" s="6" t="s">
        <v>1701</v>
      </c>
      <c r="I179" s="6" t="s">
        <v>1702</v>
      </c>
      <c r="J179" s="6"/>
      <c r="K179" s="6"/>
      <c r="L179" s="6" t="s">
        <v>1697</v>
      </c>
      <c r="M179" s="6" t="s">
        <v>1697</v>
      </c>
      <c r="N179" s="6" t="s">
        <v>1698</v>
      </c>
      <c r="O179" s="6" t="s">
        <v>1703</v>
      </c>
      <c r="P179" s="6" t="s">
        <v>1704</v>
      </c>
      <c r="Q179" s="6"/>
      <c r="R179" s="6" t="s">
        <v>169</v>
      </c>
      <c r="S179" s="7" t="s">
        <v>32</v>
      </c>
    </row>
    <row r="180" spans="1:19">
      <c r="A180" s="4" t="s">
        <v>1705</v>
      </c>
      <c r="B180" s="5">
        <v>4771</v>
      </c>
      <c r="C180" s="6" t="s">
        <v>103</v>
      </c>
      <c r="D180" s="6" t="s">
        <v>1706</v>
      </c>
      <c r="E180" s="6" t="s">
        <v>1707</v>
      </c>
      <c r="F180" s="6" t="s">
        <v>1708</v>
      </c>
      <c r="G180" s="6" t="s">
        <v>1709</v>
      </c>
      <c r="H180" s="6" t="s">
        <v>1710</v>
      </c>
      <c r="I180" s="6" t="s">
        <v>1711</v>
      </c>
      <c r="J180" s="6"/>
      <c r="K180" s="6"/>
      <c r="L180" s="6" t="s">
        <v>1706</v>
      </c>
      <c r="M180" s="6" t="s">
        <v>1706</v>
      </c>
      <c r="N180" s="6" t="s">
        <v>1707</v>
      </c>
      <c r="O180" s="6" t="s">
        <v>1712</v>
      </c>
      <c r="P180" s="6" t="s">
        <v>1713</v>
      </c>
      <c r="Q180" s="6"/>
      <c r="R180" s="6" t="s">
        <v>169</v>
      </c>
      <c r="S180" s="7" t="s">
        <v>32</v>
      </c>
    </row>
    <row r="181" spans="1:19">
      <c r="A181" s="4" t="s">
        <v>1714</v>
      </c>
      <c r="B181" s="5">
        <v>4705</v>
      </c>
      <c r="C181" s="6" t="s">
        <v>20</v>
      </c>
      <c r="D181" s="6" t="s">
        <v>1715</v>
      </c>
      <c r="E181" s="6" t="s">
        <v>1716</v>
      </c>
      <c r="F181" s="6" t="s">
        <v>1717</v>
      </c>
      <c r="G181" s="6" t="s">
        <v>1718</v>
      </c>
      <c r="H181" s="6" t="s">
        <v>1719</v>
      </c>
      <c r="I181" s="6" t="s">
        <v>1720</v>
      </c>
      <c r="J181" s="6"/>
      <c r="K181" s="6"/>
      <c r="L181" s="6" t="s">
        <v>1715</v>
      </c>
      <c r="M181" s="6" t="s">
        <v>1721</v>
      </c>
      <c r="N181" s="6" t="s">
        <v>1716</v>
      </c>
      <c r="O181" s="6" t="s">
        <v>1722</v>
      </c>
      <c r="P181" s="6" t="s">
        <v>1723</v>
      </c>
      <c r="Q181" s="6"/>
      <c r="R181" s="6" t="s">
        <v>169</v>
      </c>
      <c r="S181" s="7" t="s">
        <v>32</v>
      </c>
    </row>
    <row r="182" spans="1:19">
      <c r="A182" s="4" t="s">
        <v>1724</v>
      </c>
      <c r="B182" s="5">
        <v>4527</v>
      </c>
      <c r="C182" s="6" t="s">
        <v>62</v>
      </c>
      <c r="D182" s="6" t="s">
        <v>1725</v>
      </c>
      <c r="E182" s="6" t="s">
        <v>1726</v>
      </c>
      <c r="F182" s="6" t="s">
        <v>1727</v>
      </c>
      <c r="G182" s="6" t="s">
        <v>1728</v>
      </c>
      <c r="H182" s="6" t="s">
        <v>1729</v>
      </c>
      <c r="I182" s="6" t="s">
        <v>1730</v>
      </c>
      <c r="J182" s="6" t="s">
        <v>1731</v>
      </c>
      <c r="K182" s="6" t="s">
        <v>1732</v>
      </c>
      <c r="L182" s="6" t="s">
        <v>1725</v>
      </c>
      <c r="M182" s="6" t="s">
        <v>1725</v>
      </c>
      <c r="N182" s="6" t="s">
        <v>1726</v>
      </c>
      <c r="O182" s="6" t="s">
        <v>1733</v>
      </c>
      <c r="P182" s="6" t="s">
        <v>1734</v>
      </c>
      <c r="Q182" s="6" t="s">
        <v>1727</v>
      </c>
      <c r="R182" s="6" t="s">
        <v>169</v>
      </c>
      <c r="S182" s="7" t="s">
        <v>32</v>
      </c>
    </row>
    <row r="183" spans="1:19">
      <c r="A183" s="4" t="s">
        <v>1735</v>
      </c>
      <c r="B183" s="5">
        <v>4789</v>
      </c>
      <c r="C183" s="6" t="s">
        <v>62</v>
      </c>
      <c r="D183" s="6" t="s">
        <v>1736</v>
      </c>
      <c r="E183" s="6" t="s">
        <v>1737</v>
      </c>
      <c r="F183" s="6" t="s">
        <v>1738</v>
      </c>
      <c r="G183" s="6" t="s">
        <v>1739</v>
      </c>
      <c r="H183" s="6" t="s">
        <v>1740</v>
      </c>
      <c r="I183" s="6" t="s">
        <v>1741</v>
      </c>
      <c r="J183" s="6" t="s">
        <v>1742</v>
      </c>
      <c r="K183" s="6" t="s">
        <v>1738</v>
      </c>
      <c r="L183" s="6" t="s">
        <v>1736</v>
      </c>
      <c r="M183" s="6" t="s">
        <v>1736</v>
      </c>
      <c r="N183" s="6" t="s">
        <v>1737</v>
      </c>
      <c r="O183" s="6" t="s">
        <v>1743</v>
      </c>
      <c r="P183" s="6" t="s">
        <v>1744</v>
      </c>
      <c r="Q183" s="6"/>
      <c r="R183" s="6" t="s">
        <v>169</v>
      </c>
      <c r="S183" s="7" t="s">
        <v>32</v>
      </c>
    </row>
    <row r="184" spans="1:19">
      <c r="A184" s="4" t="s">
        <v>1745</v>
      </c>
      <c r="B184" s="5">
        <v>4624</v>
      </c>
      <c r="C184" s="6" t="s">
        <v>53</v>
      </c>
      <c r="D184" s="6" t="s">
        <v>1746</v>
      </c>
      <c r="E184" s="6" t="s">
        <v>1747</v>
      </c>
      <c r="F184" s="6" t="s">
        <v>1748</v>
      </c>
      <c r="G184" s="6" t="s">
        <v>1749</v>
      </c>
      <c r="H184" s="6" t="s">
        <v>1750</v>
      </c>
      <c r="I184" s="6" t="s">
        <v>1751</v>
      </c>
      <c r="J184" s="6" t="s">
        <v>1752</v>
      </c>
      <c r="K184" s="6" t="s">
        <v>1750</v>
      </c>
      <c r="L184" s="6" t="s">
        <v>1746</v>
      </c>
      <c r="M184" s="6" t="s">
        <v>1746</v>
      </c>
      <c r="N184" s="6" t="s">
        <v>1747</v>
      </c>
      <c r="O184" s="6" t="s">
        <v>1121</v>
      </c>
      <c r="P184" s="6" t="s">
        <v>1122</v>
      </c>
      <c r="Q184" s="6"/>
      <c r="R184" s="6" t="s">
        <v>169</v>
      </c>
      <c r="S184" s="7" t="s">
        <v>32</v>
      </c>
    </row>
    <row r="185" spans="1:19">
      <c r="A185" s="4" t="s">
        <v>1753</v>
      </c>
      <c r="B185" s="5">
        <v>4767</v>
      </c>
      <c r="C185" s="6" t="s">
        <v>53</v>
      </c>
      <c r="D185" s="6" t="s">
        <v>1754</v>
      </c>
      <c r="E185" s="6" t="s">
        <v>1755</v>
      </c>
      <c r="F185" s="6" t="s">
        <v>1756</v>
      </c>
      <c r="G185" s="6" t="s">
        <v>1757</v>
      </c>
      <c r="H185" s="6" t="s">
        <v>1758</v>
      </c>
      <c r="I185" s="6" t="s">
        <v>1759</v>
      </c>
      <c r="J185" s="6" t="s">
        <v>1760</v>
      </c>
      <c r="K185" s="6" t="s">
        <v>1761</v>
      </c>
      <c r="L185" s="6" t="s">
        <v>1754</v>
      </c>
      <c r="M185" s="6" t="s">
        <v>1754</v>
      </c>
      <c r="N185" s="6" t="s">
        <v>1755</v>
      </c>
      <c r="O185" s="6" t="s">
        <v>1762</v>
      </c>
      <c r="P185" s="6" t="s">
        <v>1763</v>
      </c>
      <c r="Q185" s="6"/>
      <c r="R185" s="6" t="s">
        <v>169</v>
      </c>
      <c r="S185" s="7" t="s">
        <v>32</v>
      </c>
    </row>
    <row r="186" spans="1:19">
      <c r="A186" s="4" t="s">
        <v>1764</v>
      </c>
      <c r="B186" s="5">
        <v>4766</v>
      </c>
      <c r="C186" s="6" t="s">
        <v>53</v>
      </c>
      <c r="D186" s="6" t="s">
        <v>1765</v>
      </c>
      <c r="E186" s="6" t="s">
        <v>1766</v>
      </c>
      <c r="F186" s="6" t="s">
        <v>1767</v>
      </c>
      <c r="G186" s="6" t="s">
        <v>1768</v>
      </c>
      <c r="H186" s="6" t="s">
        <v>1769</v>
      </c>
      <c r="I186" s="6" t="s">
        <v>1770</v>
      </c>
      <c r="J186" s="6" t="s">
        <v>1760</v>
      </c>
      <c r="K186" s="6"/>
      <c r="L186" s="6" t="s">
        <v>1765</v>
      </c>
      <c r="M186" s="6" t="s">
        <v>1765</v>
      </c>
      <c r="N186" s="6" t="s">
        <v>1766</v>
      </c>
      <c r="O186" s="6" t="s">
        <v>1771</v>
      </c>
      <c r="P186" s="6" t="s">
        <v>1772</v>
      </c>
      <c r="Q186" s="6"/>
      <c r="R186" s="6" t="s">
        <v>169</v>
      </c>
      <c r="S186" s="7" t="s">
        <v>32</v>
      </c>
    </row>
    <row r="187" spans="1:19">
      <c r="A187" s="4" t="s">
        <v>1773</v>
      </c>
      <c r="B187" s="5">
        <v>4175</v>
      </c>
      <c r="C187" s="6" t="s">
        <v>269</v>
      </c>
      <c r="D187" s="6" t="s">
        <v>1774</v>
      </c>
      <c r="E187" s="6" t="s">
        <v>1775</v>
      </c>
      <c r="F187" s="6" t="s">
        <v>1776</v>
      </c>
      <c r="G187" s="6" t="s">
        <v>1777</v>
      </c>
      <c r="H187" s="6" t="s">
        <v>1778</v>
      </c>
      <c r="I187" s="6" t="s">
        <v>1779</v>
      </c>
      <c r="J187" s="6"/>
      <c r="K187" s="6" t="s">
        <v>1780</v>
      </c>
      <c r="L187" s="6" t="s">
        <v>1774</v>
      </c>
      <c r="M187" s="6" t="s">
        <v>1774</v>
      </c>
      <c r="N187" s="6" t="s">
        <v>1775</v>
      </c>
      <c r="O187" s="6" t="s">
        <v>279</v>
      </c>
      <c r="P187" s="6" t="s">
        <v>280</v>
      </c>
      <c r="Q187" s="6" t="s">
        <v>1781</v>
      </c>
      <c r="R187" s="6" t="s">
        <v>282</v>
      </c>
      <c r="S187" s="6"/>
    </row>
    <row r="188" spans="1:19">
      <c r="A188" s="4" t="s">
        <v>1782</v>
      </c>
      <c r="B188" s="5">
        <v>4656</v>
      </c>
      <c r="C188" s="6" t="s">
        <v>20</v>
      </c>
      <c r="D188" s="6" t="s">
        <v>1783</v>
      </c>
      <c r="E188" s="6" t="s">
        <v>1784</v>
      </c>
      <c r="F188" s="6" t="s">
        <v>1785</v>
      </c>
      <c r="G188" s="6" t="s">
        <v>1786</v>
      </c>
      <c r="H188" s="6" t="s">
        <v>1787</v>
      </c>
      <c r="I188" s="6" t="s">
        <v>1788</v>
      </c>
      <c r="J188" s="6"/>
      <c r="K188" s="6"/>
      <c r="L188" s="6" t="s">
        <v>1783</v>
      </c>
      <c r="M188" s="6" t="s">
        <v>1783</v>
      </c>
      <c r="N188" s="6" t="s">
        <v>1784</v>
      </c>
      <c r="O188" s="6" t="s">
        <v>1789</v>
      </c>
      <c r="P188" s="6" t="s">
        <v>1790</v>
      </c>
      <c r="Q188" s="6"/>
      <c r="R188" s="6" t="s">
        <v>169</v>
      </c>
      <c r="S188" s="7" t="s">
        <v>32</v>
      </c>
    </row>
    <row r="189" spans="1:19">
      <c r="A189" s="4" t="s">
        <v>1791</v>
      </c>
      <c r="B189" s="5">
        <v>4642</v>
      </c>
      <c r="C189" s="6" t="s">
        <v>53</v>
      </c>
      <c r="D189" s="6" t="s">
        <v>1792</v>
      </c>
      <c r="E189" s="6" t="s">
        <v>1793</v>
      </c>
      <c r="F189" s="6" t="s">
        <v>1794</v>
      </c>
      <c r="G189" s="6" t="s">
        <v>1795</v>
      </c>
      <c r="H189" s="6" t="s">
        <v>1796</v>
      </c>
      <c r="I189" s="6" t="s">
        <v>1797</v>
      </c>
      <c r="J189" s="6"/>
      <c r="K189" s="6"/>
      <c r="L189" s="6" t="s">
        <v>1792</v>
      </c>
      <c r="M189" s="6" t="s">
        <v>1792</v>
      </c>
      <c r="N189" s="6" t="s">
        <v>1793</v>
      </c>
      <c r="O189" s="6" t="s">
        <v>1121</v>
      </c>
      <c r="P189" s="6" t="s">
        <v>1122</v>
      </c>
      <c r="Q189" s="6"/>
      <c r="R189" s="6" t="s">
        <v>169</v>
      </c>
      <c r="S189" s="7" t="s">
        <v>32</v>
      </c>
    </row>
    <row r="190" spans="1:19">
      <c r="A190" s="4" t="s">
        <v>1798</v>
      </c>
      <c r="B190" s="5">
        <v>4585</v>
      </c>
      <c r="C190" s="6" t="s">
        <v>53</v>
      </c>
      <c r="D190" s="6" t="s">
        <v>1799</v>
      </c>
      <c r="E190" s="6" t="s">
        <v>1800</v>
      </c>
      <c r="F190" s="6" t="s">
        <v>1801</v>
      </c>
      <c r="G190" s="6" t="s">
        <v>1437</v>
      </c>
      <c r="H190" s="6" t="s">
        <v>1438</v>
      </c>
      <c r="I190" s="6" t="s">
        <v>1439</v>
      </c>
      <c r="J190" s="6" t="s">
        <v>1802</v>
      </c>
      <c r="K190" s="6"/>
      <c r="L190" s="6" t="s">
        <v>1799</v>
      </c>
      <c r="M190" s="6" t="s">
        <v>1799</v>
      </c>
      <c r="N190" s="6" t="s">
        <v>1800</v>
      </c>
      <c r="O190" s="6" t="s">
        <v>1803</v>
      </c>
      <c r="P190" s="6" t="s">
        <v>1804</v>
      </c>
      <c r="Q190" s="6" t="s">
        <v>1805</v>
      </c>
      <c r="R190" s="6" t="s">
        <v>169</v>
      </c>
      <c r="S190" s="7" t="s">
        <v>32</v>
      </c>
    </row>
    <row r="191" spans="1:19">
      <c r="A191" s="4" t="s">
        <v>1806</v>
      </c>
      <c r="B191" s="5">
        <v>4103</v>
      </c>
      <c r="C191" s="6" t="s">
        <v>305</v>
      </c>
      <c r="D191" s="6" t="s">
        <v>1807</v>
      </c>
      <c r="E191" s="6" t="s">
        <v>1808</v>
      </c>
      <c r="F191" s="6" t="s">
        <v>1809</v>
      </c>
      <c r="G191" s="6" t="s">
        <v>1810</v>
      </c>
      <c r="H191" s="6" t="s">
        <v>1811</v>
      </c>
      <c r="I191" s="6" t="s">
        <v>1812</v>
      </c>
      <c r="J191" s="6"/>
      <c r="K191" s="6" t="s">
        <v>1813</v>
      </c>
      <c r="L191" s="6" t="s">
        <v>1814</v>
      </c>
      <c r="M191" s="6" t="s">
        <v>1807</v>
      </c>
      <c r="N191" s="6" t="s">
        <v>1808</v>
      </c>
      <c r="O191" s="6" t="s">
        <v>279</v>
      </c>
      <c r="P191" s="6" t="s">
        <v>280</v>
      </c>
      <c r="Q191" s="6"/>
      <c r="R191" s="6" t="s">
        <v>282</v>
      </c>
      <c r="S191" s="6"/>
    </row>
    <row r="192" spans="1:19">
      <c r="A192" s="4" t="s">
        <v>1815</v>
      </c>
      <c r="B192" s="5">
        <v>4256</v>
      </c>
      <c r="C192" s="6" t="s">
        <v>305</v>
      </c>
      <c r="D192" s="6" t="s">
        <v>1816</v>
      </c>
      <c r="E192" s="6" t="s">
        <v>1817</v>
      </c>
      <c r="F192" s="6" t="s">
        <v>1818</v>
      </c>
      <c r="G192" s="6" t="s">
        <v>1819</v>
      </c>
      <c r="H192" s="6" t="s">
        <v>1820</v>
      </c>
      <c r="I192" s="6" t="s">
        <v>1821</v>
      </c>
      <c r="J192" s="6"/>
      <c r="K192" s="6" t="s">
        <v>1822</v>
      </c>
      <c r="L192" s="6" t="s">
        <v>1823</v>
      </c>
      <c r="M192" s="6" t="s">
        <v>1824</v>
      </c>
      <c r="N192" s="6" t="s">
        <v>1817</v>
      </c>
      <c r="O192" s="6" t="s">
        <v>279</v>
      </c>
      <c r="P192" s="6" t="s">
        <v>280</v>
      </c>
      <c r="Q192" s="6" t="s">
        <v>1825</v>
      </c>
      <c r="R192" s="6" t="s">
        <v>282</v>
      </c>
      <c r="S192" s="6"/>
    </row>
    <row r="193" spans="1:19">
      <c r="A193" s="4" t="s">
        <v>1826</v>
      </c>
      <c r="B193" s="5">
        <v>4592</v>
      </c>
      <c r="C193" s="6" t="s">
        <v>103</v>
      </c>
      <c r="D193" s="6" t="s">
        <v>1827</v>
      </c>
      <c r="E193" s="6" t="s">
        <v>1828</v>
      </c>
      <c r="F193" s="6" t="s">
        <v>1829</v>
      </c>
      <c r="G193" s="6" t="s">
        <v>1690</v>
      </c>
      <c r="H193" s="6" t="s">
        <v>1691</v>
      </c>
      <c r="I193" s="6" t="s">
        <v>1692</v>
      </c>
      <c r="J193" s="6" t="s">
        <v>1830</v>
      </c>
      <c r="K193" s="6"/>
      <c r="L193" s="6" t="s">
        <v>1827</v>
      </c>
      <c r="M193" s="6" t="s">
        <v>1827</v>
      </c>
      <c r="N193" s="6" t="s">
        <v>1828</v>
      </c>
      <c r="O193" s="6" t="s">
        <v>1831</v>
      </c>
      <c r="P193" s="6" t="s">
        <v>1832</v>
      </c>
      <c r="Q193" s="6" t="s">
        <v>1833</v>
      </c>
      <c r="R193" s="6" t="s">
        <v>169</v>
      </c>
      <c r="S193" s="7" t="s">
        <v>32</v>
      </c>
    </row>
    <row r="194" spans="1:19">
      <c r="A194" s="4" t="s">
        <v>1834</v>
      </c>
      <c r="B194" s="5">
        <v>4587</v>
      </c>
      <c r="C194" s="6" t="s">
        <v>43</v>
      </c>
      <c r="D194" s="6" t="s">
        <v>1835</v>
      </c>
      <c r="E194" s="6" t="s">
        <v>1836</v>
      </c>
      <c r="F194" s="6" t="s">
        <v>1837</v>
      </c>
      <c r="G194" s="6" t="s">
        <v>1838</v>
      </c>
      <c r="H194" s="6" t="s">
        <v>1839</v>
      </c>
      <c r="I194" s="6" t="s">
        <v>1840</v>
      </c>
      <c r="J194" s="6"/>
      <c r="K194" s="6"/>
      <c r="L194" s="6" t="s">
        <v>1841</v>
      </c>
      <c r="M194" s="6" t="s">
        <v>1835</v>
      </c>
      <c r="N194" s="6" t="s">
        <v>1836</v>
      </c>
      <c r="O194" s="6" t="s">
        <v>1842</v>
      </c>
      <c r="P194" s="6" t="s">
        <v>1843</v>
      </c>
      <c r="Q194" s="6" t="s">
        <v>1844</v>
      </c>
      <c r="R194" s="6" t="s">
        <v>169</v>
      </c>
      <c r="S194" s="7" t="s">
        <v>32</v>
      </c>
    </row>
    <row r="195" spans="1:19">
      <c r="A195" s="4" t="s">
        <v>1845</v>
      </c>
      <c r="B195" s="5">
        <v>4508</v>
      </c>
      <c r="C195" s="6" t="s">
        <v>20</v>
      </c>
      <c r="D195" s="6" t="s">
        <v>1846</v>
      </c>
      <c r="E195" s="6" t="s">
        <v>1847</v>
      </c>
      <c r="F195" s="6" t="s">
        <v>1848</v>
      </c>
      <c r="G195" s="6" t="s">
        <v>1849</v>
      </c>
      <c r="H195" s="6" t="s">
        <v>1850</v>
      </c>
      <c r="I195" s="6" t="s">
        <v>1851</v>
      </c>
      <c r="J195" s="6"/>
      <c r="K195" s="6"/>
      <c r="L195" s="6" t="s">
        <v>1846</v>
      </c>
      <c r="M195" s="6" t="s">
        <v>1846</v>
      </c>
      <c r="N195" s="6" t="s">
        <v>1847</v>
      </c>
      <c r="O195" s="6" t="s">
        <v>1852</v>
      </c>
      <c r="P195" s="6" t="s">
        <v>1853</v>
      </c>
      <c r="Q195" s="6" t="s">
        <v>1848</v>
      </c>
      <c r="R195" s="6" t="s">
        <v>169</v>
      </c>
      <c r="S195" s="7" t="s">
        <v>32</v>
      </c>
    </row>
    <row r="196" spans="1:19">
      <c r="A196" s="4" t="s">
        <v>1854</v>
      </c>
      <c r="B196" s="5">
        <v>4616</v>
      </c>
      <c r="C196" s="6" t="s">
        <v>53</v>
      </c>
      <c r="D196" s="6" t="s">
        <v>1855</v>
      </c>
      <c r="E196" s="6" t="s">
        <v>1856</v>
      </c>
      <c r="F196" s="6" t="s">
        <v>1857</v>
      </c>
      <c r="G196" s="6" t="s">
        <v>1858</v>
      </c>
      <c r="H196" s="6" t="s">
        <v>1859</v>
      </c>
      <c r="I196" s="6" t="s">
        <v>1860</v>
      </c>
      <c r="J196" s="6"/>
      <c r="K196" s="6"/>
      <c r="L196" s="6" t="s">
        <v>1855</v>
      </c>
      <c r="M196" s="6" t="s">
        <v>1855</v>
      </c>
      <c r="N196" s="6" t="s">
        <v>1856</v>
      </c>
      <c r="O196" s="6" t="s">
        <v>1861</v>
      </c>
      <c r="P196" s="6" t="s">
        <v>1862</v>
      </c>
      <c r="Q196" s="6" t="s">
        <v>1857</v>
      </c>
      <c r="R196" s="6" t="s">
        <v>169</v>
      </c>
      <c r="S196" s="7" t="s">
        <v>32</v>
      </c>
    </row>
    <row r="197" spans="1:19">
      <c r="A197" s="4" t="s">
        <v>1863</v>
      </c>
      <c r="B197" s="5">
        <v>4590</v>
      </c>
      <c r="C197" s="6" t="s">
        <v>20</v>
      </c>
      <c r="D197" s="6" t="s">
        <v>1864</v>
      </c>
      <c r="E197" s="6" t="s">
        <v>1865</v>
      </c>
      <c r="F197" s="6" t="s">
        <v>1866</v>
      </c>
      <c r="G197" s="6" t="s">
        <v>1867</v>
      </c>
      <c r="H197" s="6" t="s">
        <v>1868</v>
      </c>
      <c r="I197" s="6" t="s">
        <v>1869</v>
      </c>
      <c r="J197" s="6"/>
      <c r="K197" s="6"/>
      <c r="L197" s="6" t="s">
        <v>1864</v>
      </c>
      <c r="M197" s="6" t="s">
        <v>1864</v>
      </c>
      <c r="N197" s="6" t="s">
        <v>1865</v>
      </c>
      <c r="O197" s="6" t="s">
        <v>1870</v>
      </c>
      <c r="P197" s="6" t="s">
        <v>1871</v>
      </c>
      <c r="Q197" s="6"/>
      <c r="R197" s="6" t="s">
        <v>169</v>
      </c>
      <c r="S197" s="7" t="s">
        <v>32</v>
      </c>
    </row>
    <row r="198" spans="1:19">
      <c r="A198" s="4" t="s">
        <v>1872</v>
      </c>
      <c r="B198" s="5">
        <v>4688</v>
      </c>
      <c r="C198" s="6" t="s">
        <v>62</v>
      </c>
      <c r="D198" s="6" t="s">
        <v>1873</v>
      </c>
      <c r="E198" s="6" t="s">
        <v>1874</v>
      </c>
      <c r="F198" s="6" t="s">
        <v>1875</v>
      </c>
      <c r="G198" s="6" t="s">
        <v>1876</v>
      </c>
      <c r="H198" s="6" t="s">
        <v>1877</v>
      </c>
      <c r="I198" s="6" t="s">
        <v>1878</v>
      </c>
      <c r="J198" s="6"/>
      <c r="K198" s="6"/>
      <c r="L198" s="6" t="s">
        <v>1873</v>
      </c>
      <c r="M198" s="6" t="s">
        <v>1873</v>
      </c>
      <c r="N198" s="6" t="s">
        <v>1874</v>
      </c>
      <c r="O198" s="6" t="s">
        <v>1879</v>
      </c>
      <c r="P198" s="6" t="s">
        <v>1880</v>
      </c>
      <c r="Q198" s="6" t="s">
        <v>1881</v>
      </c>
      <c r="R198" s="6" t="s">
        <v>169</v>
      </c>
      <c r="S198" s="7" t="s">
        <v>32</v>
      </c>
    </row>
    <row r="199" spans="1:19">
      <c r="A199" s="4" t="s">
        <v>1882</v>
      </c>
      <c r="B199" s="5">
        <v>4580</v>
      </c>
      <c r="C199" s="6" t="s">
        <v>62</v>
      </c>
      <c r="D199" s="6" t="s">
        <v>1883</v>
      </c>
      <c r="E199" s="6" t="s">
        <v>1884</v>
      </c>
      <c r="F199" s="6" t="s">
        <v>1885</v>
      </c>
      <c r="G199" s="6" t="s">
        <v>1886</v>
      </c>
      <c r="H199" s="6" t="s">
        <v>1887</v>
      </c>
      <c r="I199" s="6" t="s">
        <v>1888</v>
      </c>
      <c r="J199" s="6" t="s">
        <v>1889</v>
      </c>
      <c r="K199" s="6" t="s">
        <v>1885</v>
      </c>
      <c r="L199" s="6" t="s">
        <v>1883</v>
      </c>
      <c r="M199" s="6" t="s">
        <v>1883</v>
      </c>
      <c r="N199" s="6" t="s">
        <v>1884</v>
      </c>
      <c r="O199" s="6" t="s">
        <v>1890</v>
      </c>
      <c r="P199" s="6" t="s">
        <v>1891</v>
      </c>
      <c r="Q199" s="6" t="s">
        <v>1892</v>
      </c>
      <c r="R199" s="6" t="s">
        <v>169</v>
      </c>
      <c r="S199" s="7" t="s">
        <v>32</v>
      </c>
    </row>
    <row r="200" spans="1:19">
      <c r="A200" s="4" t="s">
        <v>1893</v>
      </c>
      <c r="B200" s="5">
        <v>4794</v>
      </c>
      <c r="C200" s="18" t="s">
        <v>20</v>
      </c>
      <c r="D200" s="6" t="s">
        <v>1894</v>
      </c>
      <c r="E200" s="6" t="s">
        <v>1895</v>
      </c>
      <c r="F200" s="6" t="s">
        <v>1896</v>
      </c>
      <c r="G200" s="6" t="s">
        <v>1897</v>
      </c>
      <c r="H200" s="6" t="s">
        <v>1898</v>
      </c>
      <c r="I200" s="6" t="s">
        <v>1899</v>
      </c>
      <c r="J200" s="6"/>
      <c r="K200" s="6" t="s">
        <v>1900</v>
      </c>
      <c r="L200" s="6" t="s">
        <v>1894</v>
      </c>
      <c r="M200" s="6" t="s">
        <v>1894</v>
      </c>
      <c r="N200" s="6" t="s">
        <v>1895</v>
      </c>
      <c r="O200" s="6" t="s">
        <v>1901</v>
      </c>
      <c r="P200" s="6" t="s">
        <v>1902</v>
      </c>
      <c r="Q200" s="6" t="s">
        <v>1896</v>
      </c>
      <c r="R200" s="6" t="s">
        <v>169</v>
      </c>
      <c r="S200" s="7" t="s">
        <v>32</v>
      </c>
    </row>
    <row r="201" spans="1:19">
      <c r="A201" s="4" t="s">
        <v>1903</v>
      </c>
      <c r="B201" s="5">
        <v>4627</v>
      </c>
      <c r="C201" s="6" t="s">
        <v>43</v>
      </c>
      <c r="D201" s="6" t="s">
        <v>1904</v>
      </c>
      <c r="E201" s="6" t="s">
        <v>1905</v>
      </c>
      <c r="F201" s="6" t="s">
        <v>1906</v>
      </c>
      <c r="G201" s="6" t="s">
        <v>1907</v>
      </c>
      <c r="H201" s="6" t="s">
        <v>1908</v>
      </c>
      <c r="I201" s="6" t="s">
        <v>1909</v>
      </c>
      <c r="J201" s="6"/>
      <c r="K201" s="6" t="s">
        <v>1910</v>
      </c>
      <c r="L201" s="6" t="s">
        <v>1904</v>
      </c>
      <c r="M201" s="6" t="s">
        <v>1904</v>
      </c>
      <c r="N201" s="6" t="s">
        <v>1905</v>
      </c>
      <c r="O201" s="6" t="s">
        <v>1911</v>
      </c>
      <c r="P201" s="6" t="s">
        <v>1912</v>
      </c>
      <c r="Q201" s="6" t="s">
        <v>1913</v>
      </c>
      <c r="R201" s="6" t="s">
        <v>169</v>
      </c>
      <c r="S201" s="7" t="s">
        <v>32</v>
      </c>
    </row>
    <row r="202" spans="1:19">
      <c r="A202" s="4" t="s">
        <v>1914</v>
      </c>
      <c r="B202" s="5">
        <v>4191</v>
      </c>
      <c r="C202" s="6" t="s">
        <v>305</v>
      </c>
      <c r="D202" s="6" t="s">
        <v>1915</v>
      </c>
      <c r="E202" s="6" t="s">
        <v>1916</v>
      </c>
      <c r="F202" s="6" t="s">
        <v>1917</v>
      </c>
      <c r="G202" s="6" t="s">
        <v>1918</v>
      </c>
      <c r="H202" s="6" t="s">
        <v>1919</v>
      </c>
      <c r="I202" s="11" t="s">
        <v>1920</v>
      </c>
      <c r="J202" s="6"/>
      <c r="K202" s="6" t="s">
        <v>1921</v>
      </c>
      <c r="L202" s="6" t="s">
        <v>1915</v>
      </c>
      <c r="M202" s="6" t="s">
        <v>1915</v>
      </c>
      <c r="N202" s="6" t="s">
        <v>1916</v>
      </c>
      <c r="O202" s="6" t="s">
        <v>279</v>
      </c>
      <c r="P202" s="6" t="s">
        <v>280</v>
      </c>
      <c r="Q202" s="6"/>
      <c r="R202" s="6" t="s">
        <v>282</v>
      </c>
      <c r="S202" s="6"/>
    </row>
    <row r="203" spans="1:19">
      <c r="A203" s="4" t="s">
        <v>1922</v>
      </c>
      <c r="B203" s="5">
        <v>4265</v>
      </c>
      <c r="C203" s="6" t="s">
        <v>305</v>
      </c>
      <c r="D203" s="6" t="s">
        <v>1923</v>
      </c>
      <c r="E203" s="6" t="s">
        <v>1924</v>
      </c>
      <c r="F203" s="6" t="s">
        <v>1925</v>
      </c>
      <c r="G203" s="6" t="s">
        <v>1926</v>
      </c>
      <c r="H203" s="6" t="s">
        <v>1927</v>
      </c>
      <c r="I203" s="11" t="s">
        <v>1928</v>
      </c>
      <c r="J203" s="6"/>
      <c r="K203" s="6"/>
      <c r="L203" s="6" t="s">
        <v>1923</v>
      </c>
      <c r="M203" s="6" t="s">
        <v>1929</v>
      </c>
      <c r="N203" s="6" t="s">
        <v>1924</v>
      </c>
      <c r="O203" s="6" t="s">
        <v>279</v>
      </c>
      <c r="P203" s="6" t="s">
        <v>280</v>
      </c>
      <c r="Q203" s="6" t="s">
        <v>1930</v>
      </c>
      <c r="R203" s="6" t="s">
        <v>282</v>
      </c>
      <c r="S203" s="6"/>
    </row>
    <row r="204" spans="1:19">
      <c r="A204" s="4" t="s">
        <v>1931</v>
      </c>
      <c r="B204" s="5">
        <v>4558</v>
      </c>
      <c r="C204" s="6" t="s">
        <v>103</v>
      </c>
      <c r="D204" s="6" t="s">
        <v>1932</v>
      </c>
      <c r="E204" s="6" t="s">
        <v>1933</v>
      </c>
      <c r="F204" s="6" t="s">
        <v>1934</v>
      </c>
      <c r="G204" s="6" t="s">
        <v>1935</v>
      </c>
      <c r="H204" s="6" t="s">
        <v>1936</v>
      </c>
      <c r="I204" s="6" t="s">
        <v>1937</v>
      </c>
      <c r="J204" s="6"/>
      <c r="K204" s="6"/>
      <c r="L204" s="6" t="s">
        <v>1932</v>
      </c>
      <c r="M204" s="6" t="s">
        <v>1932</v>
      </c>
      <c r="N204" s="6" t="s">
        <v>1933</v>
      </c>
      <c r="O204" s="6" t="s">
        <v>1938</v>
      </c>
      <c r="P204" s="6" t="s">
        <v>1939</v>
      </c>
      <c r="Q204" s="6"/>
      <c r="R204" s="6" t="s">
        <v>169</v>
      </c>
      <c r="S204" s="7" t="s">
        <v>32</v>
      </c>
    </row>
    <row r="205" spans="1:19">
      <c r="A205" s="4" t="s">
        <v>1940</v>
      </c>
      <c r="B205" s="5">
        <v>4220</v>
      </c>
      <c r="C205" s="6" t="s">
        <v>305</v>
      </c>
      <c r="D205" s="6" t="s">
        <v>1941</v>
      </c>
      <c r="E205" s="6" t="s">
        <v>1942</v>
      </c>
      <c r="F205" s="6" t="s">
        <v>1943</v>
      </c>
      <c r="G205" s="6" t="s">
        <v>1944</v>
      </c>
      <c r="H205" s="6" t="s">
        <v>1945</v>
      </c>
      <c r="I205" s="6" t="s">
        <v>1946</v>
      </c>
      <c r="J205" s="6"/>
      <c r="K205" s="6" t="s">
        <v>1947</v>
      </c>
      <c r="L205" s="6" t="s">
        <v>1948</v>
      </c>
      <c r="M205" s="6" t="s">
        <v>1949</v>
      </c>
      <c r="N205" s="6" t="s">
        <v>1942</v>
      </c>
      <c r="O205" s="6" t="s">
        <v>279</v>
      </c>
      <c r="P205" s="6" t="s">
        <v>280</v>
      </c>
      <c r="Q205" s="6"/>
      <c r="R205" s="6" t="s">
        <v>282</v>
      </c>
      <c r="S205" s="6"/>
    </row>
    <row r="206" spans="1:19">
      <c r="A206" s="4" t="s">
        <v>1950</v>
      </c>
      <c r="B206" s="5">
        <v>4677</v>
      </c>
      <c r="C206" s="6" t="s">
        <v>20</v>
      </c>
      <c r="D206" s="6" t="s">
        <v>1951</v>
      </c>
      <c r="E206" s="6" t="s">
        <v>1952</v>
      </c>
      <c r="F206" s="6" t="s">
        <v>1953</v>
      </c>
      <c r="G206" s="6" t="s">
        <v>1954</v>
      </c>
      <c r="H206" s="6" t="s">
        <v>1955</v>
      </c>
      <c r="I206" s="6" t="s">
        <v>1956</v>
      </c>
      <c r="J206" s="6"/>
      <c r="K206" s="6"/>
      <c r="L206" s="6" t="s">
        <v>1951</v>
      </c>
      <c r="M206" s="6" t="s">
        <v>1951</v>
      </c>
      <c r="N206" s="6" t="s">
        <v>1952</v>
      </c>
      <c r="O206" s="6" t="s">
        <v>1957</v>
      </c>
      <c r="P206" s="6" t="s">
        <v>1958</v>
      </c>
      <c r="Q206" s="6" t="s">
        <v>1959</v>
      </c>
      <c r="R206" s="6" t="s">
        <v>169</v>
      </c>
      <c r="S206" s="7" t="s">
        <v>32</v>
      </c>
    </row>
    <row r="207" spans="1:19">
      <c r="A207" s="4" t="s">
        <v>1960</v>
      </c>
      <c r="B207" s="5">
        <v>4644</v>
      </c>
      <c r="C207" s="6" t="s">
        <v>103</v>
      </c>
      <c r="D207" s="6" t="s">
        <v>1961</v>
      </c>
      <c r="E207" s="6" t="s">
        <v>1962</v>
      </c>
      <c r="F207" s="6" t="s">
        <v>1963</v>
      </c>
      <c r="G207" s="6" t="s">
        <v>1964</v>
      </c>
      <c r="H207" s="6" t="s">
        <v>1965</v>
      </c>
      <c r="I207" s="6" t="s">
        <v>1966</v>
      </c>
      <c r="J207" s="6"/>
      <c r="K207" s="6"/>
      <c r="L207" s="6" t="s">
        <v>1961</v>
      </c>
      <c r="M207" s="6" t="s">
        <v>1961</v>
      </c>
      <c r="N207" s="6" t="s">
        <v>1962</v>
      </c>
      <c r="O207" s="6" t="s">
        <v>1967</v>
      </c>
      <c r="P207" s="6" t="s">
        <v>1968</v>
      </c>
      <c r="Q207" s="6"/>
      <c r="R207" s="6" t="s">
        <v>169</v>
      </c>
      <c r="S207" s="7" t="s">
        <v>32</v>
      </c>
    </row>
    <row r="208" spans="1:19">
      <c r="A208" s="4" t="s">
        <v>1969</v>
      </c>
      <c r="B208" s="5">
        <v>4204</v>
      </c>
      <c r="C208" s="6" t="s">
        <v>305</v>
      </c>
      <c r="D208" s="6" t="s">
        <v>1970</v>
      </c>
      <c r="E208" s="6" t="s">
        <v>1971</v>
      </c>
      <c r="F208" s="6" t="s">
        <v>1972</v>
      </c>
      <c r="G208" s="6" t="s">
        <v>1973</v>
      </c>
      <c r="H208" s="6" t="s">
        <v>1974</v>
      </c>
      <c r="I208" s="6" t="s">
        <v>1975</v>
      </c>
      <c r="J208" s="6"/>
      <c r="K208" s="6" t="s">
        <v>1976</v>
      </c>
      <c r="L208" s="6" t="s">
        <v>1970</v>
      </c>
      <c r="M208" s="6" t="s">
        <v>1977</v>
      </c>
      <c r="N208" s="6" t="s">
        <v>1971</v>
      </c>
      <c r="O208" s="6" t="s">
        <v>279</v>
      </c>
      <c r="P208" s="6" t="s">
        <v>280</v>
      </c>
      <c r="Q208" s="6"/>
      <c r="R208" s="6" t="s">
        <v>282</v>
      </c>
      <c r="S208" s="6"/>
    </row>
    <row r="209" spans="1:19">
      <c r="A209" s="4" t="s">
        <v>1978</v>
      </c>
      <c r="B209" s="5">
        <v>4254</v>
      </c>
      <c r="C209" s="6" t="s">
        <v>314</v>
      </c>
      <c r="D209" s="6" t="s">
        <v>1979</v>
      </c>
      <c r="E209" s="6" t="s">
        <v>1980</v>
      </c>
      <c r="F209" s="6" t="s">
        <v>1981</v>
      </c>
      <c r="G209" s="6" t="s">
        <v>1982</v>
      </c>
      <c r="H209" s="6" t="s">
        <v>1983</v>
      </c>
      <c r="I209" s="6" t="s">
        <v>1984</v>
      </c>
      <c r="J209" s="6"/>
      <c r="K209" s="6" t="s">
        <v>1985</v>
      </c>
      <c r="L209" s="6" t="s">
        <v>1979</v>
      </c>
      <c r="M209" s="6" t="s">
        <v>1979</v>
      </c>
      <c r="N209" s="6" t="s">
        <v>1980</v>
      </c>
      <c r="O209" s="6" t="s">
        <v>279</v>
      </c>
      <c r="P209" s="6" t="s">
        <v>280</v>
      </c>
      <c r="Q209" s="6"/>
      <c r="R209" s="6" t="s">
        <v>282</v>
      </c>
      <c r="S209" s="6"/>
    </row>
    <row r="210" spans="1:19">
      <c r="A210" s="4" t="s">
        <v>1986</v>
      </c>
      <c r="B210" s="5">
        <v>4734</v>
      </c>
      <c r="C210" s="6" t="s">
        <v>43</v>
      </c>
      <c r="D210" s="6" t="s">
        <v>1987</v>
      </c>
      <c r="E210" s="6" t="s">
        <v>1988</v>
      </c>
      <c r="F210" s="6" t="s">
        <v>1989</v>
      </c>
      <c r="G210" s="6" t="s">
        <v>1990</v>
      </c>
      <c r="H210" s="6" t="s">
        <v>1991</v>
      </c>
      <c r="I210" s="6" t="s">
        <v>1992</v>
      </c>
      <c r="J210" s="6"/>
      <c r="K210" s="6"/>
      <c r="L210" s="6" t="s">
        <v>1987</v>
      </c>
      <c r="M210" s="6" t="s">
        <v>1987</v>
      </c>
      <c r="N210" s="6" t="s">
        <v>1988</v>
      </c>
      <c r="O210" s="6" t="s">
        <v>1993</v>
      </c>
      <c r="P210" s="6" t="s">
        <v>1994</v>
      </c>
      <c r="Q210" s="6"/>
      <c r="R210" s="6" t="s">
        <v>169</v>
      </c>
      <c r="S210" s="7" t="s">
        <v>32</v>
      </c>
    </row>
    <row r="211" spans="1:19">
      <c r="A211" s="4" t="s">
        <v>1995</v>
      </c>
      <c r="B211" s="5">
        <v>4757</v>
      </c>
      <c r="C211" s="6" t="s">
        <v>43</v>
      </c>
      <c r="D211" s="6" t="s">
        <v>1996</v>
      </c>
      <c r="E211" s="6" t="s">
        <v>1997</v>
      </c>
      <c r="F211" s="6" t="s">
        <v>1998</v>
      </c>
      <c r="G211" s="6" t="s">
        <v>1999</v>
      </c>
      <c r="H211" s="6" t="s">
        <v>2000</v>
      </c>
      <c r="I211" s="6" t="s">
        <v>2001</v>
      </c>
      <c r="J211" s="6"/>
      <c r="K211" s="6"/>
      <c r="L211" s="6" t="s">
        <v>1996</v>
      </c>
      <c r="M211" s="6" t="s">
        <v>1996</v>
      </c>
      <c r="N211" s="6" t="s">
        <v>1997</v>
      </c>
      <c r="O211" s="6" t="s">
        <v>1993</v>
      </c>
      <c r="P211" s="6" t="s">
        <v>1994</v>
      </c>
      <c r="Q211" s="6"/>
      <c r="R211" s="6" t="s">
        <v>169</v>
      </c>
      <c r="S211" s="7" t="s">
        <v>32</v>
      </c>
    </row>
    <row r="212" spans="1:19">
      <c r="A212" s="4" t="s">
        <v>2002</v>
      </c>
      <c r="B212" s="5">
        <v>4738</v>
      </c>
      <c r="C212" s="6" t="s">
        <v>43</v>
      </c>
      <c r="D212" s="6" t="s">
        <v>2003</v>
      </c>
      <c r="E212" s="6" t="s">
        <v>2004</v>
      </c>
      <c r="F212" s="6" t="s">
        <v>2005</v>
      </c>
      <c r="G212" s="6" t="s">
        <v>2006</v>
      </c>
      <c r="H212" s="6" t="s">
        <v>2007</v>
      </c>
      <c r="I212" s="6" t="s">
        <v>2008</v>
      </c>
      <c r="J212" s="6"/>
      <c r="K212" s="6"/>
      <c r="L212" s="6" t="s">
        <v>2003</v>
      </c>
      <c r="M212" s="6" t="s">
        <v>2003</v>
      </c>
      <c r="N212" s="6" t="s">
        <v>2004</v>
      </c>
      <c r="O212" s="6" t="s">
        <v>1993</v>
      </c>
      <c r="P212" s="6" t="s">
        <v>1994</v>
      </c>
      <c r="Q212" s="6"/>
      <c r="R212" s="6" t="s">
        <v>169</v>
      </c>
      <c r="S212" s="7" t="s">
        <v>32</v>
      </c>
    </row>
    <row r="213" spans="1:19">
      <c r="A213" s="4" t="s">
        <v>2009</v>
      </c>
      <c r="B213" s="5">
        <v>4730</v>
      </c>
      <c r="C213" s="6" t="s">
        <v>43</v>
      </c>
      <c r="D213" s="6" t="s">
        <v>2010</v>
      </c>
      <c r="E213" s="6" t="s">
        <v>2011</v>
      </c>
      <c r="F213" s="6" t="s">
        <v>2012</v>
      </c>
      <c r="G213" s="6" t="s">
        <v>2013</v>
      </c>
      <c r="H213" s="6" t="s">
        <v>2014</v>
      </c>
      <c r="I213" s="6" t="s">
        <v>2015</v>
      </c>
      <c r="J213" s="6"/>
      <c r="K213" s="6"/>
      <c r="L213" s="6" t="s">
        <v>2010</v>
      </c>
      <c r="M213" s="6" t="s">
        <v>2010</v>
      </c>
      <c r="N213" s="6" t="s">
        <v>2011</v>
      </c>
      <c r="O213" s="6" t="s">
        <v>1993</v>
      </c>
      <c r="P213" s="6" t="s">
        <v>1994</v>
      </c>
      <c r="Q213" s="6"/>
      <c r="R213" s="6" t="s">
        <v>169</v>
      </c>
      <c r="S213" s="7" t="s">
        <v>32</v>
      </c>
    </row>
    <row r="214" spans="1:19">
      <c r="A214" s="4" t="s">
        <v>2016</v>
      </c>
      <c r="B214" s="5">
        <v>4732</v>
      </c>
      <c r="C214" s="6" t="s">
        <v>43</v>
      </c>
      <c r="D214" s="6" t="s">
        <v>2017</v>
      </c>
      <c r="E214" s="6" t="s">
        <v>2011</v>
      </c>
      <c r="F214" s="6" t="s">
        <v>2018</v>
      </c>
      <c r="G214" s="6" t="s">
        <v>369</v>
      </c>
      <c r="H214" s="6" t="s">
        <v>2019</v>
      </c>
      <c r="I214" s="6" t="s">
        <v>2020</v>
      </c>
      <c r="J214" s="6"/>
      <c r="K214" s="6"/>
      <c r="L214" s="6" t="s">
        <v>2017</v>
      </c>
      <c r="M214" s="6" t="s">
        <v>2017</v>
      </c>
      <c r="N214" s="6" t="s">
        <v>2011</v>
      </c>
      <c r="O214" s="6" t="s">
        <v>1993</v>
      </c>
      <c r="P214" s="6" t="s">
        <v>1994</v>
      </c>
      <c r="Q214" s="6"/>
      <c r="R214" s="6" t="s">
        <v>169</v>
      </c>
      <c r="S214" s="7" t="s">
        <v>32</v>
      </c>
    </row>
    <row r="215" spans="1:19">
      <c r="A215" s="4" t="s">
        <v>2021</v>
      </c>
      <c r="B215" s="5">
        <v>4756</v>
      </c>
      <c r="C215" s="6" t="s">
        <v>43</v>
      </c>
      <c r="D215" s="6" t="s">
        <v>2022</v>
      </c>
      <c r="E215" s="6" t="s">
        <v>2023</v>
      </c>
      <c r="F215" s="6" t="s">
        <v>2024</v>
      </c>
      <c r="G215" s="10" t="s">
        <v>2025</v>
      </c>
      <c r="H215" s="6" t="s">
        <v>2026</v>
      </c>
      <c r="I215" s="10" t="s">
        <v>2027</v>
      </c>
      <c r="J215" s="6"/>
      <c r="K215" s="6"/>
      <c r="L215" s="6" t="s">
        <v>2022</v>
      </c>
      <c r="M215" s="6" t="s">
        <v>2022</v>
      </c>
      <c r="N215" s="6" t="s">
        <v>2023</v>
      </c>
      <c r="O215" s="6" t="s">
        <v>1993</v>
      </c>
      <c r="P215" s="6" t="s">
        <v>1994</v>
      </c>
      <c r="Q215" s="6"/>
      <c r="R215" s="6" t="s">
        <v>169</v>
      </c>
      <c r="S215" s="7" t="s">
        <v>32</v>
      </c>
    </row>
    <row r="216" spans="1:19">
      <c r="A216" s="4" t="s">
        <v>2028</v>
      </c>
      <c r="B216" s="5">
        <v>4737</v>
      </c>
      <c r="C216" s="6" t="s">
        <v>43</v>
      </c>
      <c r="D216" s="6" t="s">
        <v>2029</v>
      </c>
      <c r="E216" s="6" t="s">
        <v>2030</v>
      </c>
      <c r="F216" s="6" t="s">
        <v>2031</v>
      </c>
      <c r="G216" s="6" t="s">
        <v>2032</v>
      </c>
      <c r="H216" s="6" t="s">
        <v>2033</v>
      </c>
      <c r="I216" s="6" t="s">
        <v>2034</v>
      </c>
      <c r="J216" s="6"/>
      <c r="K216" s="6"/>
      <c r="L216" s="6" t="s">
        <v>2029</v>
      </c>
      <c r="M216" s="6" t="s">
        <v>2029</v>
      </c>
      <c r="N216" s="6" t="s">
        <v>2030</v>
      </c>
      <c r="O216" s="6" t="s">
        <v>1993</v>
      </c>
      <c r="P216" s="6" t="s">
        <v>1994</v>
      </c>
      <c r="Q216" s="6"/>
      <c r="R216" s="6" t="s">
        <v>169</v>
      </c>
      <c r="S216" s="7" t="s">
        <v>32</v>
      </c>
    </row>
    <row r="217" spans="1:19">
      <c r="A217" s="4" t="s">
        <v>2035</v>
      </c>
      <c r="B217" s="5">
        <v>4736</v>
      </c>
      <c r="C217" s="6" t="s">
        <v>43</v>
      </c>
      <c r="D217" s="6" t="s">
        <v>2036</v>
      </c>
      <c r="E217" s="6" t="s">
        <v>2037</v>
      </c>
      <c r="F217" s="6" t="s">
        <v>2038</v>
      </c>
      <c r="G217" s="6" t="s">
        <v>2039</v>
      </c>
      <c r="H217" s="6" t="s">
        <v>2040</v>
      </c>
      <c r="I217" s="6" t="s">
        <v>2041</v>
      </c>
      <c r="J217" s="6"/>
      <c r="K217" s="6"/>
      <c r="L217" s="6" t="s">
        <v>2036</v>
      </c>
      <c r="M217" s="6" t="s">
        <v>2036</v>
      </c>
      <c r="N217" s="6" t="s">
        <v>2037</v>
      </c>
      <c r="O217" s="6" t="s">
        <v>1993</v>
      </c>
      <c r="P217" s="6" t="s">
        <v>1994</v>
      </c>
      <c r="Q217" s="6"/>
      <c r="R217" s="6" t="s">
        <v>169</v>
      </c>
      <c r="S217" s="7" t="s">
        <v>32</v>
      </c>
    </row>
    <row r="218" spans="1:19">
      <c r="A218" s="4" t="s">
        <v>2042</v>
      </c>
      <c r="B218" s="5">
        <v>4735</v>
      </c>
      <c r="C218" s="6" t="s">
        <v>43</v>
      </c>
      <c r="D218" s="6" t="s">
        <v>2043</v>
      </c>
      <c r="E218" s="6" t="s">
        <v>2044</v>
      </c>
      <c r="F218" s="6" t="s">
        <v>2045</v>
      </c>
      <c r="G218" s="6" t="s">
        <v>2046</v>
      </c>
      <c r="H218" s="6" t="s">
        <v>2047</v>
      </c>
      <c r="I218" s="6" t="s">
        <v>2048</v>
      </c>
      <c r="J218" s="6"/>
      <c r="K218" s="6"/>
      <c r="L218" s="6" t="s">
        <v>2043</v>
      </c>
      <c r="M218" s="6" t="s">
        <v>2043</v>
      </c>
      <c r="N218" s="6" t="s">
        <v>2044</v>
      </c>
      <c r="O218" s="6" t="s">
        <v>1993</v>
      </c>
      <c r="P218" s="6" t="s">
        <v>1994</v>
      </c>
      <c r="Q218" s="6"/>
      <c r="R218" s="6" t="s">
        <v>169</v>
      </c>
      <c r="S218" s="7" t="s">
        <v>32</v>
      </c>
    </row>
    <row r="219" spans="1:19">
      <c r="A219" s="4" t="s">
        <v>2049</v>
      </c>
      <c r="B219" s="5">
        <v>4720</v>
      </c>
      <c r="C219" s="6" t="s">
        <v>103</v>
      </c>
      <c r="D219" s="6" t="s">
        <v>2050</v>
      </c>
      <c r="E219" s="6" t="s">
        <v>2051</v>
      </c>
      <c r="F219" s="6" t="s">
        <v>2052</v>
      </c>
      <c r="G219" s="6" t="s">
        <v>2053</v>
      </c>
      <c r="H219" s="6" t="s">
        <v>2054</v>
      </c>
      <c r="I219" s="6" t="s">
        <v>2055</v>
      </c>
      <c r="J219" s="6"/>
      <c r="K219" s="6"/>
      <c r="L219" s="6" t="s">
        <v>2050</v>
      </c>
      <c r="M219" s="6" t="s">
        <v>2050</v>
      </c>
      <c r="N219" s="6" t="s">
        <v>2051</v>
      </c>
      <c r="O219" s="6" t="s">
        <v>2056</v>
      </c>
      <c r="P219" s="6" t="s">
        <v>2057</v>
      </c>
      <c r="Q219" s="6"/>
      <c r="R219" s="6" t="s">
        <v>169</v>
      </c>
      <c r="S219" s="7" t="s">
        <v>32</v>
      </c>
    </row>
    <row r="220" spans="1:19">
      <c r="A220" s="19" t="s">
        <v>2042</v>
      </c>
      <c r="B220" s="20">
        <v>4735</v>
      </c>
      <c r="C220" s="16" t="s">
        <v>43</v>
      </c>
      <c r="D220" s="16" t="s">
        <v>2043</v>
      </c>
      <c r="E220" s="16" t="s">
        <v>2044</v>
      </c>
      <c r="F220" s="16" t="s">
        <v>2045</v>
      </c>
      <c r="G220" s="16" t="s">
        <v>2046</v>
      </c>
      <c r="H220" s="16" t="s">
        <v>2047</v>
      </c>
      <c r="I220" s="16" t="s">
        <v>2048</v>
      </c>
      <c r="J220" s="16"/>
      <c r="K220" s="16"/>
      <c r="L220" s="16" t="s">
        <v>2043</v>
      </c>
      <c r="M220" s="16" t="s">
        <v>2043</v>
      </c>
      <c r="N220" s="16" t="s">
        <v>2044</v>
      </c>
      <c r="O220" s="16" t="s">
        <v>1993</v>
      </c>
      <c r="P220" s="16" t="s">
        <v>1994</v>
      </c>
      <c r="R220" s="16" t="s">
        <v>169</v>
      </c>
      <c r="S220" s="7" t="s">
        <v>32</v>
      </c>
    </row>
    <row r="221" spans="1:19">
      <c r="A221" s="19" t="s">
        <v>2049</v>
      </c>
      <c r="B221" s="20">
        <v>4720</v>
      </c>
      <c r="C221" s="16" t="s">
        <v>103</v>
      </c>
      <c r="D221" s="16" t="s">
        <v>2050</v>
      </c>
      <c r="E221" s="16" t="s">
        <v>2051</v>
      </c>
      <c r="F221" s="16" t="s">
        <v>2052</v>
      </c>
      <c r="G221" s="16" t="s">
        <v>2053</v>
      </c>
      <c r="H221" s="16" t="s">
        <v>2054</v>
      </c>
      <c r="I221" s="16" t="s">
        <v>2055</v>
      </c>
      <c r="J221" s="16"/>
      <c r="K221" s="16"/>
      <c r="L221" s="16" t="s">
        <v>2050</v>
      </c>
      <c r="M221" s="16" t="s">
        <v>2050</v>
      </c>
      <c r="N221" s="16" t="s">
        <v>2051</v>
      </c>
      <c r="O221" s="16" t="s">
        <v>2056</v>
      </c>
      <c r="P221" s="16" t="s">
        <v>2057</v>
      </c>
      <c r="R221" s="16" t="s">
        <v>169</v>
      </c>
      <c r="S221" s="7" t="s">
        <v>32</v>
      </c>
    </row>
    <row r="222" spans="1:19">
      <c r="A222" s="22"/>
    </row>
    <row r="223" spans="1:19">
      <c r="A223" s="22"/>
    </row>
    <row r="224" spans="1:19">
      <c r="A224" s="22"/>
    </row>
    <row r="225" spans="1:8">
      <c r="A225" s="22"/>
    </row>
    <row r="226" spans="1:8">
      <c r="A226" s="22"/>
    </row>
    <row r="227" spans="1:8">
      <c r="A227" s="22"/>
    </row>
    <row r="228" spans="1:8">
      <c r="A228" s="22"/>
    </row>
    <row r="229" spans="1:8">
      <c r="A229" s="22"/>
    </row>
    <row r="230" spans="1:8">
      <c r="A230" s="22"/>
    </row>
    <row r="231" spans="1:8">
      <c r="A231" s="22"/>
      <c r="H231" s="24"/>
    </row>
    <row r="232" spans="1:8">
      <c r="A232" s="22"/>
    </row>
    <row r="233" spans="1:8">
      <c r="A233" s="22"/>
    </row>
    <row r="234" spans="1:8">
      <c r="A234" s="22"/>
    </row>
    <row r="237" spans="1:8">
      <c r="H237" s="24"/>
    </row>
    <row r="242" spans="3:7">
      <c r="C242" s="21" t="s">
        <v>2058</v>
      </c>
    </row>
    <row r="246" spans="3:7">
      <c r="F246" s="12"/>
    </row>
    <row r="247" spans="3:7">
      <c r="F247" s="12"/>
      <c r="G247" s="12"/>
    </row>
    <row r="248" spans="3:7">
      <c r="F248" s="12"/>
      <c r="G248" s="12"/>
    </row>
    <row r="249" spans="3:7">
      <c r="F249" s="12"/>
      <c r="G249" s="12"/>
    </row>
    <row r="250" spans="3:7">
      <c r="F250" s="12"/>
      <c r="G250" s="12"/>
    </row>
    <row r="251" spans="3:7">
      <c r="G251" s="12"/>
    </row>
  </sheetData>
  <hyperlinks>
    <hyperlink ref="I220" r:id="rId1" xr:uid="{EDD1F91C-6F9E-BD47-9EE3-13F9ECBF4E44}"/>
    <hyperlink ref="I221" r:id="rId2" xr:uid="{C0149183-FABC-C94B-B3B3-04FEECC98335}"/>
    <hyperlink ref="I5" r:id="rId3" display="savyo.markus@butikskontakt.se" xr:uid="{B783EA3C-225E-D14F-917D-09869CDF3C38}"/>
    <hyperlink ref="I6" r:id="rId4" xr:uid="{B6C88001-F563-F74B-9818-508301233C6C}"/>
    <hyperlink ref="I8" r:id="rId5" xr:uid="{4DA45CD1-26E9-4647-8795-52C1FBE862EA}"/>
    <hyperlink ref="I9" r:id="rId6" xr:uid="{F96777A5-1E5A-8E4E-96CA-DB568C280C3A}"/>
    <hyperlink ref="I10" r:id="rId7" xr:uid="{CDF5F8DA-3AC1-AE4F-87CA-32238F6C729B}"/>
    <hyperlink ref="I14" r:id="rId8" xr:uid="{10B28691-91EC-994B-8F5D-D52E6B455E12}"/>
    <hyperlink ref="J14" r:id="rId9" xr:uid="{95BB31A3-BFC5-574B-86BB-2E3E4EA77A8D}"/>
    <hyperlink ref="I16" r:id="rId10" xr:uid="{99251478-4802-6D4C-8014-B2FFE13C6D07}"/>
    <hyperlink ref="I17" r:id="rId11" xr:uid="{7A29604E-137C-7143-8F6D-6EBB03345F7F}"/>
    <hyperlink ref="I18" r:id="rId12" xr:uid="{1BDC838B-4D21-2B47-AECB-E5F70CA5ED6C}"/>
    <hyperlink ref="I19" r:id="rId13" xr:uid="{B8EDE71A-EC8B-4941-8F96-1B54D890FD4B}"/>
    <hyperlink ref="I20" r:id="rId14" xr:uid="{E279096F-4630-9A46-A611-1BB1AC934F30}"/>
    <hyperlink ref="I21" r:id="rId15" xr:uid="{6B935214-E126-5645-82BD-12A0ABD626E2}"/>
    <hyperlink ref="I22" r:id="rId16" xr:uid="{32354DC8-529B-FE4A-8C62-C651BAF6CE4D}"/>
    <hyperlink ref="I24" r:id="rId17" xr:uid="{96637A91-4A5E-1E47-958C-401173076C4A}"/>
    <hyperlink ref="I32" r:id="rId18" xr:uid="{AFE487D5-04C5-6A46-9EBA-5BC558171861}"/>
    <hyperlink ref="I33" r:id="rId19" xr:uid="{1C84A35B-D84A-454A-BA85-AAF25EDD0912}"/>
    <hyperlink ref="I34" r:id="rId20" xr:uid="{7151DF55-8F70-1147-88FA-33CF78F96107}"/>
    <hyperlink ref="I35" r:id="rId21" xr:uid="{06DB5458-E64B-B144-B1B4-BE1F404ADBA0}"/>
    <hyperlink ref="I36" r:id="rId22" xr:uid="{F34B6EB9-BFB2-CF42-BF63-D51ED64AEDEA}"/>
    <hyperlink ref="I37" r:id="rId23" display="stephan@affarsbyggarna.se;anders@affarsbyggarna.se" xr:uid="{B671C9E7-814B-E94B-88E8-2023CA67B93B}"/>
    <hyperlink ref="I39" r:id="rId24" display="annika.pantzar@hemkop.se" xr:uid="{8E33AFA8-EDB5-0442-8E6D-84ED2A7B56EF}"/>
    <hyperlink ref="I40" r:id="rId25" display="sara.gustafsson@hemkop.se" xr:uid="{CD19D387-905E-974A-80D7-71BD16500728}"/>
    <hyperlink ref="I44" r:id="rId26" xr:uid="{69F8BE0B-4DAD-DA40-9E70-26DBB3DB0630}"/>
    <hyperlink ref="I49" r:id="rId27" display="mikael.pettersson@hemkop.se" xr:uid="{30411F3B-4315-1445-9A23-ADBFE6F40DAD}"/>
    <hyperlink ref="I51" r:id="rId28" display="krister.blom@hemkop.se" xr:uid="{E3C6185C-077E-CC46-8A50-BAA6E17D3350}"/>
    <hyperlink ref="I52" r:id="rId29" display="raine.de.boer@hemkop.se" xr:uid="{38538925-A024-9A44-B466-3135AB6F0511}"/>
    <hyperlink ref="I53" r:id="rId30" xr:uid="{FD404EAB-CE1F-3D43-B1A4-414D7E3E0337}"/>
    <hyperlink ref="I54" r:id="rId31" xr:uid="{92A73CEF-E2CD-844D-87E4-A596546BC41C}"/>
    <hyperlink ref="I55" r:id="rId32" display="jorgen.westman@hemkop.se" xr:uid="{C3304173-4562-984F-A7B0-D63ED8CE5A70}"/>
    <hyperlink ref="I57" r:id="rId33" xr:uid="{C43BB913-3F4B-7A45-8C42-183B379D0CE2}"/>
    <hyperlink ref="I58" r:id="rId34" xr:uid="{B0CB33B9-AFBD-1642-AAE5-B8FF014A5842}"/>
    <hyperlink ref="I59" r:id="rId35" display="terese.awen@hemkop.se" xr:uid="{E53F9BC6-95F7-FD4A-B0E2-3E3F37ABDA2E}"/>
    <hyperlink ref="I60" r:id="rId36" xr:uid="{C7F2E924-E86D-7F43-86A0-345C55C24AC5}"/>
    <hyperlink ref="I61" r:id="rId37" xr:uid="{A0A0B509-A8FC-5A44-925A-AB5F2D38F6F7}"/>
    <hyperlink ref="I68" r:id="rId38" display="daniel.moberg@hemkop.se" xr:uid="{82C4304D-1325-EA43-8B02-E05138160EB8}"/>
    <hyperlink ref="I76" r:id="rId39" xr:uid="{25A796F2-A6DC-AE4F-B7FC-0A1D65A1B501}"/>
    <hyperlink ref="I77" r:id="rId40" xr:uid="{9533C93E-F65C-1C4F-9286-3FAE20AEDC89}"/>
    <hyperlink ref="I79" r:id="rId41" xr:uid="{C33E673C-A92B-714E-BE6C-CF50D9D85135}"/>
    <hyperlink ref="I81" r:id="rId42" xr:uid="{BDA13A3A-9801-8541-B8C8-ECCC8478BB6F}"/>
    <hyperlink ref="I82" r:id="rId43" xr:uid="{D56F92C9-BA81-EB40-9565-BFAF53157405}"/>
    <hyperlink ref="I85" r:id="rId44" xr:uid="{3D22030F-6216-DE48-A705-7EC4FEC16E38}"/>
    <hyperlink ref="I90" r:id="rId45" xr:uid="{87DFDD0E-6653-D24D-9679-566D9AC1F144}"/>
    <hyperlink ref="I91" r:id="rId46" xr:uid="{71B22DEF-52A7-6B40-942F-98231894101A}"/>
    <hyperlink ref="I93" r:id="rId47" display="eva-lena.nilsson@hemkop.se" xr:uid="{0663A4FB-B44C-584B-B3DA-BEE948044E24}"/>
    <hyperlink ref="I95" r:id="rId48" xr:uid="{936515B5-7CE6-0F46-9254-BFA2AEC6DF84}"/>
    <hyperlink ref="I96" r:id="rId49" xr:uid="{B3C13453-4C6F-EF4C-8B5F-06265C944B00}"/>
    <hyperlink ref="I100" r:id="rId50" xr:uid="{28D24774-31E3-B447-9406-DD0DDB5B2B93}"/>
    <hyperlink ref="G101" r:id="rId51" display="Douglas.liljekrantz@hemkop.se" xr:uid="{587558E1-B80D-E44B-9879-2C1014DFDA01}"/>
    <hyperlink ref="I103" r:id="rId52" display="jakob.hofverberg@hemkop.se" xr:uid="{19BFEFD6-E588-7246-998E-78302DFAC33E}"/>
    <hyperlink ref="I112" r:id="rId53" xr:uid="{38A128DE-6795-8F4A-9AC3-A40E510D7CEA}"/>
    <hyperlink ref="I114" r:id="rId54" xr:uid="{11E81C39-5A89-0A42-B0DD-79064E971D45}"/>
    <hyperlink ref="I115" r:id="rId55" xr:uid="{91FBB307-160E-3B4C-A588-AB7A23100F69}"/>
    <hyperlink ref="I119" r:id="rId56" display="jimmy.wolffberg@hemkop.se" xr:uid="{4BF00F64-F8E3-B64D-9A04-380CE2571139}"/>
    <hyperlink ref="I121" r:id="rId57" xr:uid="{1DBFACE7-0F1F-B344-8549-4562CC284CE8}"/>
    <hyperlink ref="I126" r:id="rId58" xr:uid="{E99FF17B-3D72-3B49-859E-284FD069A46B}"/>
    <hyperlink ref="I133" r:id="rId59" xr:uid="{114D4613-57F8-B140-B740-86C3CC1550E6}"/>
    <hyperlink ref="I134" r:id="rId60" xr:uid="{23101696-6AF0-9948-A2C4-91FC796DE33F}"/>
    <hyperlink ref="I135" r:id="rId61" display="jeanette.sjostrom@hemkop.se" xr:uid="{1F663FC1-5E64-4C4C-BFEC-4FA9DD32789C}"/>
    <hyperlink ref="I136" r:id="rId62" xr:uid="{197C1E70-03EB-1C4C-A95B-4231C397A852}"/>
    <hyperlink ref="I139" r:id="rId63" xr:uid="{EAF578DB-7313-1945-AF09-538539B9A7FD}"/>
    <hyperlink ref="I140" r:id="rId64" xr:uid="{C5642F08-C855-D94E-94D1-B5DFC012B306}"/>
    <hyperlink ref="I141" r:id="rId65" xr:uid="{7811ED6E-8774-F047-BE27-25A6CA3DC732}"/>
    <hyperlink ref="I142" r:id="rId66" display="stephan@affarsbyggarna.se;anders@affarsbyggarna.se" xr:uid="{A678F9C6-D7A2-B445-9620-02B9C3D832D3}"/>
    <hyperlink ref="I143" r:id="rId67" xr:uid="{5E5239D7-51BD-FD4E-8024-C2C751996DCD}"/>
    <hyperlink ref="I144" r:id="rId68" xr:uid="{4CDF4FA1-1C5C-C940-A477-E44594E7DAB6}"/>
    <hyperlink ref="I146" r:id="rId69" xr:uid="{E9E3F04D-CC40-8443-98A4-E2BF474CDE27}"/>
    <hyperlink ref="I147" r:id="rId70" xr:uid="{623D5466-26A6-F845-86AC-02F93111CB49}"/>
    <hyperlink ref="I148" r:id="rId71" xr:uid="{D5BB612E-3941-6248-88CE-9A9F44E62840}"/>
    <hyperlink ref="I149" r:id="rId72" xr:uid="{53E997C6-92C0-EA44-91E4-463EAC0205E2}"/>
    <hyperlink ref="I150" r:id="rId73" xr:uid="{B8227C9F-2A9F-284B-9705-D91B63612865}"/>
    <hyperlink ref="I151" r:id="rId74" xr:uid="{4AB4B938-B3F7-FB43-9325-B51A933331C7}"/>
    <hyperlink ref="I152" r:id="rId75" xr:uid="{65BE0327-18F9-104E-B4A2-5CA85483E149}"/>
    <hyperlink ref="I153" r:id="rId76" xr:uid="{526F07FF-0314-8648-A426-53FB56B4055D}"/>
    <hyperlink ref="I155" r:id="rId77" display="camilla.lindberg@hemkop.se" xr:uid="{DD0DFFC4-B25C-7341-BC8F-1BF936B6CF87}"/>
    <hyperlink ref="I157" r:id="rId78" display="stephanie.bondesson.ferenac@hemkop.se" xr:uid="{0B158885-4AB0-144E-9BF2-5F2E266669FD}"/>
    <hyperlink ref="I160" r:id="rId79" display="tiina.koivisto@hemkop.se" xr:uid="{83158854-01C6-A34A-A47A-51AB7E552265}"/>
    <hyperlink ref="I161" r:id="rId80" xr:uid="{2DD4F77D-7F95-7848-9C33-355A7C3D5A47}"/>
    <hyperlink ref="I162" r:id="rId81" display="mikael.ceder.brolin@hemkop.se" xr:uid="{8CB185B6-5173-AD4C-AF88-2201BBFDA3F1}"/>
    <hyperlink ref="I164" r:id="rId82" xr:uid="{E7A0F0DA-DAFB-BF4F-9CD8-9A8EF602FFAB}"/>
    <hyperlink ref="I166" r:id="rId83" xr:uid="{54C4EF1B-53D3-5846-8E9C-5C07FB0F51D7}"/>
    <hyperlink ref="I168" r:id="rId84" display="mailto:erik.pihl@hemkop.se" xr:uid="{C7A4F72C-9BBD-EE48-8EC3-C7C350EDCA4E}"/>
    <hyperlink ref="I170" r:id="rId85" display="veronica.wahlqvist@hemkop.se" xr:uid="{298F4F15-4647-B545-BEDB-22A01EB14501}"/>
    <hyperlink ref="I171" r:id="rId86" xr:uid="{19F2ADA2-31CB-D84B-8037-AF81EA278AE3}"/>
    <hyperlink ref="I172" r:id="rId87" xr:uid="{FBD6A85F-1CE0-B84C-BC89-6A4FA9FF57E0}"/>
    <hyperlink ref="I173" r:id="rId88" xr:uid="{B1C8E479-6A90-5B4F-AB77-C3D41D8F6F60}"/>
    <hyperlink ref="I178" r:id="rId89" xr:uid="{9D984B1A-0E4D-7C4A-9B75-B0C747584DD9}"/>
    <hyperlink ref="I180" r:id="rId90" display="martin.lundstrom@hemkop.se" xr:uid="{15FF37DC-BF9D-174F-A841-2BB5AF0B5397}"/>
    <hyperlink ref="I183" r:id="rId91" xr:uid="{3D170877-2E8C-2946-8150-A0A0AA676606}"/>
    <hyperlink ref="I185" r:id="rId92" xr:uid="{EF05F71B-EF75-0846-AE94-3C16EF5E8011}"/>
    <hyperlink ref="F186" r:id="rId93" display="tel:08-46007680" xr:uid="{A090C908-E8F2-9D48-AB04-F99954F13533}"/>
    <hyperlink ref="I186" r:id="rId94" xr:uid="{112A6516-DD20-0C46-A565-D80B3C139F7C}"/>
    <hyperlink ref="I188" r:id="rId95" xr:uid="{BC0605DD-6DB8-0B45-9125-27A25C9D1DE9}"/>
    <hyperlink ref="I190" r:id="rId96" xr:uid="{2CBAF0AC-EBB8-9B4B-BA3C-D426A3F0FC5C}"/>
    <hyperlink ref="I191" r:id="rId97" display="amera.becirovic@hemkop.se" xr:uid="{9621F8B7-72C2-1D46-9552-D199C267AF73}"/>
    <hyperlink ref="I193" r:id="rId98" xr:uid="{CA389555-8B21-4342-9DCC-A2D4D834D131}"/>
    <hyperlink ref="I196" r:id="rId99" xr:uid="{4335A2FB-E5E8-B346-993E-F6C9098FE051}"/>
    <hyperlink ref="I197" r:id="rId100" xr:uid="{FC1376AA-8E2F-FF4A-B419-7DA1AA55983F}"/>
    <hyperlink ref="I198" r:id="rId101" xr:uid="{094387EA-6D78-8647-B5E8-E7E6C36F8141}"/>
    <hyperlink ref="I201" r:id="rId102" display="jimmy.fagelqvist@hemkop.se" xr:uid="{24291C25-1FCD-CA41-99CB-8F5DB9EA4312}"/>
    <hyperlink ref="I202" r:id="rId103" xr:uid="{047F540E-BBB0-6147-9E37-89BB5C03A5FC}"/>
    <hyperlink ref="I203" r:id="rId104" xr:uid="{C32C8D02-9F02-9748-B6A7-149AD29C3E9D}"/>
    <hyperlink ref="I206" r:id="rId105" xr:uid="{42675BF1-E3EB-594A-8A95-4FA78472E337}"/>
    <hyperlink ref="I207" r:id="rId106" xr:uid="{D7A4613D-0C97-2C49-AD48-2EC9AE7CE841}"/>
    <hyperlink ref="I209" r:id="rId107" display="maria.agren@hemkop.se" xr:uid="{3C219034-B641-7246-8D23-C6D62DA3CCEC}"/>
    <hyperlink ref="I210" r:id="rId108" xr:uid="{8468A2DE-1D45-CA49-BEFF-D913D01EA165}"/>
    <hyperlink ref="I213" r:id="rId109" xr:uid="{DB9A7A29-E253-2B41-A89E-5468038EDA4B}"/>
    <hyperlink ref="I214" r:id="rId110" display="arvid.bramby@hemkop.se" xr:uid="{8D43614F-48DF-B14E-A280-FE78A66E57C5}"/>
    <hyperlink ref="I215" r:id="rId111" xr:uid="{4A1393CE-6F4F-F940-BFD7-A02D11845F6F}"/>
    <hyperlink ref="I216" r:id="rId112" xr:uid="{D689A0FA-575A-3441-B432-FEBCADFEF928}"/>
    <hyperlink ref="I217" r:id="rId113" display="sofie.nilsson1@hemkop.se" xr:uid="{0050EBB7-7D5F-7D43-B6E8-4C78057C3E06}"/>
    <hyperlink ref="I218" r:id="rId114" xr:uid="{3B466DA7-F074-F547-815B-8BCA705197C1}"/>
    <hyperlink ref="I219" r:id="rId115" xr:uid="{8A94B017-63F1-584B-8296-0636440849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F73F-20F9-8947-86A6-B3C1E1505BED}">
  <dimension ref="A1:C13"/>
  <sheetViews>
    <sheetView zoomScale="175" workbookViewId="0">
      <selection sqref="A1:XFD1"/>
    </sheetView>
  </sheetViews>
  <sheetFormatPr baseColWidth="10" defaultRowHeight="16"/>
  <cols>
    <col min="1" max="1" width="25.5" bestFit="1" customWidth="1"/>
    <col min="2" max="2" width="25.1640625" bestFit="1" customWidth="1"/>
    <col min="3" max="3" width="20.6640625" bestFit="1" customWidth="1"/>
  </cols>
  <sheetData>
    <row r="1" spans="1:3" s="52" customFormat="1">
      <c r="A1" s="52" t="s">
        <v>2059</v>
      </c>
      <c r="B1" s="52" t="s">
        <v>2064</v>
      </c>
      <c r="C1" s="52" t="s">
        <v>2065</v>
      </c>
    </row>
    <row r="2" spans="1:3">
      <c r="A2" t="s">
        <v>2062</v>
      </c>
      <c r="B2">
        <v>1</v>
      </c>
      <c r="C2" t="s">
        <v>2063</v>
      </c>
    </row>
    <row r="3" spans="1:3">
      <c r="A3" t="s">
        <v>2061</v>
      </c>
      <c r="B3">
        <v>2</v>
      </c>
      <c r="C3">
        <v>1</v>
      </c>
    </row>
    <row r="4" spans="1:3">
      <c r="A4" s="25" t="s">
        <v>397</v>
      </c>
      <c r="B4">
        <v>3</v>
      </c>
      <c r="C4">
        <v>2</v>
      </c>
    </row>
    <row r="5" spans="1:3">
      <c r="A5" s="25" t="s">
        <v>305</v>
      </c>
      <c r="B5">
        <v>4</v>
      </c>
      <c r="C5">
        <v>2</v>
      </c>
    </row>
    <row r="6" spans="1:3">
      <c r="A6" s="25" t="s">
        <v>103</v>
      </c>
      <c r="B6">
        <v>5</v>
      </c>
      <c r="C6">
        <v>2</v>
      </c>
    </row>
    <row r="7" spans="1:3">
      <c r="A7" s="25" t="s">
        <v>53</v>
      </c>
      <c r="B7">
        <v>6</v>
      </c>
      <c r="C7">
        <v>2</v>
      </c>
    </row>
    <row r="8" spans="1:3">
      <c r="A8" s="25" t="s">
        <v>43</v>
      </c>
      <c r="B8">
        <v>7</v>
      </c>
      <c r="C8">
        <v>2</v>
      </c>
    </row>
    <row r="9" spans="1:3">
      <c r="A9" s="25" t="s">
        <v>269</v>
      </c>
      <c r="B9">
        <v>8</v>
      </c>
      <c r="C9">
        <v>2</v>
      </c>
    </row>
    <row r="10" spans="1:3">
      <c r="A10" s="25" t="s">
        <v>314</v>
      </c>
      <c r="B10">
        <v>9</v>
      </c>
      <c r="C10">
        <v>2</v>
      </c>
    </row>
    <row r="11" spans="1:3">
      <c r="A11" s="25" t="s">
        <v>550</v>
      </c>
      <c r="B11">
        <v>10</v>
      </c>
      <c r="C11">
        <v>2</v>
      </c>
    </row>
    <row r="12" spans="1:3">
      <c r="A12" s="25" t="s">
        <v>20</v>
      </c>
      <c r="B12">
        <v>11</v>
      </c>
      <c r="C12">
        <v>2</v>
      </c>
    </row>
    <row r="13" spans="1:3">
      <c r="A13" s="25" t="s">
        <v>62</v>
      </c>
      <c r="B13">
        <v>12</v>
      </c>
      <c r="C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A880-E7F3-EE49-9986-1478DC8E88FF}">
  <dimension ref="A1:K253"/>
  <sheetViews>
    <sheetView topLeftCell="B1" zoomScale="239" workbookViewId="0">
      <selection activeCell="B2" sqref="B2"/>
    </sheetView>
  </sheetViews>
  <sheetFormatPr baseColWidth="10" defaultRowHeight="14"/>
  <cols>
    <col min="1" max="1" width="14.33203125" style="30" bestFit="1" customWidth="1"/>
    <col min="2" max="2" width="41.83203125" style="30" bestFit="1" customWidth="1"/>
    <col min="3" max="3" width="14.33203125" style="30" bestFit="1" customWidth="1"/>
    <col min="4" max="4" width="17.1640625" style="34" bestFit="1" customWidth="1"/>
    <col min="5" max="5" width="17" style="30" bestFit="1" customWidth="1"/>
    <col min="6" max="6" width="13.6640625" style="30" bestFit="1" customWidth="1"/>
    <col min="7" max="7" width="14" style="34" bestFit="1" customWidth="1"/>
    <col min="8" max="8" width="48.33203125" style="26" bestFit="1" customWidth="1"/>
    <col min="9" max="9" width="40.5" style="21" bestFit="1" customWidth="1"/>
    <col min="10" max="10" width="49.33203125" style="21" bestFit="1" customWidth="1"/>
    <col min="11" max="11" width="65.6640625" style="21" bestFit="1" customWidth="1"/>
    <col min="12" max="16384" width="10.83203125" style="27"/>
  </cols>
  <sheetData>
    <row r="1" spans="1:11" ht="16">
      <c r="B1" s="29" t="s">
        <v>2416</v>
      </c>
      <c r="H1" s="26" t="s">
        <v>2417</v>
      </c>
      <c r="I1" s="1"/>
      <c r="J1" s="1"/>
      <c r="K1" s="1"/>
    </row>
    <row r="2" spans="1:11" ht="16">
      <c r="B2" s="29"/>
      <c r="H2" s="36" t="s">
        <v>2418</v>
      </c>
      <c r="I2" s="1" t="s">
        <v>2419</v>
      </c>
      <c r="J2" s="1"/>
      <c r="K2" s="1"/>
    </row>
    <row r="3" spans="1:11" s="28" customFormat="1" ht="16">
      <c r="A3" s="29" t="s">
        <v>2415</v>
      </c>
      <c r="B3" s="29" t="s">
        <v>2059</v>
      </c>
      <c r="C3" s="29" t="s">
        <v>2415</v>
      </c>
      <c r="D3" s="41" t="s">
        <v>2060</v>
      </c>
      <c r="E3" s="29" t="s">
        <v>3</v>
      </c>
      <c r="F3" s="29" t="s">
        <v>2066</v>
      </c>
      <c r="G3" s="41" t="s">
        <v>13</v>
      </c>
      <c r="H3" s="36" t="s">
        <v>2420</v>
      </c>
      <c r="I3" s="1" t="s">
        <v>2421</v>
      </c>
      <c r="J3" s="1" t="s">
        <v>16</v>
      </c>
      <c r="K3" s="1" t="s">
        <v>2422</v>
      </c>
    </row>
    <row r="4" spans="1:11" ht="15">
      <c r="A4" s="30">
        <v>1</v>
      </c>
      <c r="B4" s="30" t="s">
        <v>19</v>
      </c>
      <c r="C4" s="30">
        <v>1</v>
      </c>
      <c r="D4" s="34">
        <v>11</v>
      </c>
      <c r="E4" s="31" t="s">
        <v>21</v>
      </c>
      <c r="F4" s="31" t="s">
        <v>2067</v>
      </c>
      <c r="G4" s="34" t="s">
        <v>2068</v>
      </c>
      <c r="H4" s="37" t="s">
        <v>20</v>
      </c>
      <c r="I4" s="6" t="s">
        <v>24</v>
      </c>
      <c r="J4" s="6" t="s">
        <v>23</v>
      </c>
      <c r="K4" s="6" t="s">
        <v>25</v>
      </c>
    </row>
    <row r="5" spans="1:11" ht="15">
      <c r="A5" s="30">
        <v>2</v>
      </c>
      <c r="B5" s="30" t="s">
        <v>33</v>
      </c>
      <c r="C5" s="30">
        <v>2</v>
      </c>
      <c r="D5" s="34">
        <v>11</v>
      </c>
      <c r="E5" s="31" t="s">
        <v>34</v>
      </c>
      <c r="F5" s="31" t="s">
        <v>2069</v>
      </c>
      <c r="G5" s="34" t="s">
        <v>2070</v>
      </c>
      <c r="H5" s="37" t="s">
        <v>20</v>
      </c>
      <c r="I5" s="6" t="s">
        <v>37</v>
      </c>
      <c r="J5" s="6" t="s">
        <v>38</v>
      </c>
      <c r="K5" s="6" t="s">
        <v>39</v>
      </c>
    </row>
    <row r="6" spans="1:11" ht="15">
      <c r="A6" s="30">
        <v>3</v>
      </c>
      <c r="B6" s="30" t="s">
        <v>42</v>
      </c>
      <c r="C6" s="30">
        <v>3</v>
      </c>
      <c r="D6" s="34">
        <v>7</v>
      </c>
      <c r="E6" s="31" t="s">
        <v>44</v>
      </c>
      <c r="F6" s="31" t="s">
        <v>2071</v>
      </c>
      <c r="G6" s="34" t="s">
        <v>2072</v>
      </c>
      <c r="H6" s="37" t="s">
        <v>43</v>
      </c>
      <c r="I6" s="6" t="s">
        <v>47</v>
      </c>
      <c r="J6" s="6" t="s">
        <v>48</v>
      </c>
      <c r="K6" s="6" t="s">
        <v>49</v>
      </c>
    </row>
    <row r="7" spans="1:11" ht="15">
      <c r="A7" s="30">
        <v>4</v>
      </c>
      <c r="B7" s="30" t="s">
        <v>52</v>
      </c>
      <c r="C7" s="30">
        <v>4</v>
      </c>
      <c r="D7" s="34">
        <v>6</v>
      </c>
      <c r="E7" s="31" t="s">
        <v>54</v>
      </c>
      <c r="F7" s="31" t="s">
        <v>2073</v>
      </c>
      <c r="G7" s="34" t="s">
        <v>2074</v>
      </c>
      <c r="H7" s="37" t="s">
        <v>53</v>
      </c>
      <c r="I7" s="6" t="s">
        <v>57</v>
      </c>
      <c r="J7" s="6" t="s">
        <v>56</v>
      </c>
      <c r="K7" s="6" t="s">
        <v>58</v>
      </c>
    </row>
    <row r="8" spans="1:11" ht="15">
      <c r="A8" s="30">
        <v>5</v>
      </c>
      <c r="B8" s="30" t="s">
        <v>61</v>
      </c>
      <c r="C8" s="30">
        <v>5</v>
      </c>
      <c r="D8" s="34">
        <v>12</v>
      </c>
      <c r="E8" s="31" t="s">
        <v>63</v>
      </c>
      <c r="F8" s="31" t="s">
        <v>2075</v>
      </c>
      <c r="G8" s="34" t="s">
        <v>2076</v>
      </c>
      <c r="H8" s="37" t="s">
        <v>62</v>
      </c>
      <c r="I8" s="6" t="s">
        <v>66</v>
      </c>
      <c r="J8" s="6" t="s">
        <v>67</v>
      </c>
      <c r="K8" s="6" t="s">
        <v>68</v>
      </c>
    </row>
    <row r="9" spans="1:11" ht="15">
      <c r="A9" s="30">
        <v>6</v>
      </c>
      <c r="B9" s="30" t="s">
        <v>71</v>
      </c>
      <c r="C9" s="30">
        <v>6</v>
      </c>
      <c r="D9" s="34">
        <v>6</v>
      </c>
      <c r="E9" s="31" t="s">
        <v>72</v>
      </c>
      <c r="F9" s="31" t="s">
        <v>2077</v>
      </c>
      <c r="G9" s="34" t="s">
        <v>2078</v>
      </c>
      <c r="H9" s="37" t="s">
        <v>53</v>
      </c>
      <c r="I9" s="6" t="s">
        <v>75</v>
      </c>
      <c r="J9" s="6" t="s">
        <v>76</v>
      </c>
      <c r="K9" s="6" t="s">
        <v>77</v>
      </c>
    </row>
    <row r="10" spans="1:11" ht="15">
      <c r="A10" s="30">
        <v>7</v>
      </c>
      <c r="B10" s="30" t="s">
        <v>82</v>
      </c>
      <c r="C10" s="30">
        <v>7</v>
      </c>
      <c r="D10" s="34">
        <v>11</v>
      </c>
      <c r="E10" s="31" t="s">
        <v>83</v>
      </c>
      <c r="F10" s="31" t="s">
        <v>2079</v>
      </c>
      <c r="G10" s="34" t="s">
        <v>2080</v>
      </c>
      <c r="H10" s="37" t="s">
        <v>20</v>
      </c>
      <c r="I10" s="6" t="s">
        <v>86</v>
      </c>
      <c r="J10" s="6" t="s">
        <v>87</v>
      </c>
      <c r="K10" s="6" t="s">
        <v>88</v>
      </c>
    </row>
    <row r="11" spans="1:11" ht="30">
      <c r="A11" s="30">
        <v>8</v>
      </c>
      <c r="B11" s="30" t="s">
        <v>91</v>
      </c>
      <c r="C11" s="30">
        <v>8</v>
      </c>
      <c r="D11" s="34">
        <v>7</v>
      </c>
      <c r="E11" s="31" t="s">
        <v>92</v>
      </c>
      <c r="F11" s="31" t="s">
        <v>2081</v>
      </c>
      <c r="G11" s="34" t="s">
        <v>2082</v>
      </c>
      <c r="H11" s="37" t="s">
        <v>43</v>
      </c>
      <c r="I11" s="6" t="s">
        <v>95</v>
      </c>
      <c r="J11" s="6" t="s">
        <v>96</v>
      </c>
      <c r="K11" s="6" t="s">
        <v>97</v>
      </c>
    </row>
    <row r="12" spans="1:11" ht="15">
      <c r="A12" s="30">
        <v>9</v>
      </c>
      <c r="B12" s="30" t="s">
        <v>102</v>
      </c>
      <c r="C12" s="30">
        <v>9</v>
      </c>
      <c r="D12" s="34">
        <v>5</v>
      </c>
      <c r="E12" s="31" t="s">
        <v>104</v>
      </c>
      <c r="F12" s="31" t="s">
        <v>2083</v>
      </c>
      <c r="G12" s="34" t="s">
        <v>2084</v>
      </c>
      <c r="H12" s="37" t="s">
        <v>103</v>
      </c>
      <c r="I12" s="6" t="s">
        <v>107</v>
      </c>
      <c r="J12" s="6" t="s">
        <v>108</v>
      </c>
      <c r="K12" s="6" t="s">
        <v>109</v>
      </c>
    </row>
    <row r="13" spans="1:11" ht="15">
      <c r="A13" s="30">
        <v>10</v>
      </c>
      <c r="B13" s="30" t="s">
        <v>112</v>
      </c>
      <c r="C13" s="30">
        <v>10</v>
      </c>
      <c r="D13" s="34">
        <v>6</v>
      </c>
      <c r="E13" s="31" t="s">
        <v>113</v>
      </c>
      <c r="F13" s="31" t="s">
        <v>2085</v>
      </c>
      <c r="G13" s="34" t="s">
        <v>2086</v>
      </c>
      <c r="H13" s="37" t="s">
        <v>53</v>
      </c>
      <c r="I13" s="6" t="s">
        <v>116</v>
      </c>
      <c r="J13" s="6" t="s">
        <v>117</v>
      </c>
      <c r="K13" s="6" t="s">
        <v>118</v>
      </c>
    </row>
    <row r="14" spans="1:11" ht="30">
      <c r="A14" s="30">
        <v>11</v>
      </c>
      <c r="B14" s="30" t="s">
        <v>121</v>
      </c>
      <c r="C14" s="30">
        <v>11</v>
      </c>
      <c r="D14" s="34">
        <v>7</v>
      </c>
      <c r="E14" s="31" t="s">
        <v>122</v>
      </c>
      <c r="F14" s="31" t="s">
        <v>2087</v>
      </c>
      <c r="G14" s="34" t="s">
        <v>2088</v>
      </c>
      <c r="H14" s="37" t="s">
        <v>43</v>
      </c>
      <c r="I14" s="6" t="s">
        <v>125</v>
      </c>
      <c r="J14" s="6" t="s">
        <v>126</v>
      </c>
      <c r="K14" s="6" t="s">
        <v>127</v>
      </c>
    </row>
    <row r="15" spans="1:11" ht="15">
      <c r="A15" s="30">
        <v>12</v>
      </c>
      <c r="B15" s="30" t="s">
        <v>131</v>
      </c>
      <c r="C15" s="30">
        <v>12</v>
      </c>
      <c r="D15" s="34">
        <v>7</v>
      </c>
      <c r="E15" s="31" t="s">
        <v>132</v>
      </c>
      <c r="F15" s="31" t="s">
        <v>2089</v>
      </c>
      <c r="G15" s="34" t="s">
        <v>2090</v>
      </c>
      <c r="H15" s="37" t="s">
        <v>43</v>
      </c>
      <c r="I15" s="6" t="s">
        <v>125</v>
      </c>
      <c r="J15" s="6" t="s">
        <v>126</v>
      </c>
      <c r="K15" s="6" t="s">
        <v>127</v>
      </c>
    </row>
    <row r="16" spans="1:11" ht="30">
      <c r="A16" s="30">
        <v>13</v>
      </c>
      <c r="B16" s="30" t="s">
        <v>139</v>
      </c>
      <c r="C16" s="30">
        <v>13</v>
      </c>
      <c r="D16" s="34">
        <v>5</v>
      </c>
      <c r="E16" s="31" t="s">
        <v>140</v>
      </c>
      <c r="F16" s="31" t="s">
        <v>2091</v>
      </c>
      <c r="G16" s="34" t="s">
        <v>2092</v>
      </c>
      <c r="H16" s="37" t="s">
        <v>103</v>
      </c>
      <c r="I16" s="6" t="s">
        <v>142</v>
      </c>
      <c r="J16" s="6" t="s">
        <v>143</v>
      </c>
      <c r="K16" s="6" t="s">
        <v>144</v>
      </c>
    </row>
    <row r="17" spans="1:11" ht="15">
      <c r="A17" s="30">
        <v>14</v>
      </c>
      <c r="B17" s="30" t="s">
        <v>148</v>
      </c>
      <c r="C17" s="30">
        <v>14</v>
      </c>
      <c r="D17" s="34">
        <v>6</v>
      </c>
      <c r="E17" s="31" t="s">
        <v>149</v>
      </c>
      <c r="F17" s="31" t="s">
        <v>2093</v>
      </c>
      <c r="G17" s="34" t="s">
        <v>2094</v>
      </c>
      <c r="H17" s="37" t="s">
        <v>53</v>
      </c>
      <c r="I17" s="6" t="s">
        <v>152</v>
      </c>
      <c r="J17" s="6" t="s">
        <v>153</v>
      </c>
      <c r="K17" s="6" t="s">
        <v>154</v>
      </c>
    </row>
    <row r="18" spans="1:11" ht="15">
      <c r="A18" s="30">
        <v>15</v>
      </c>
      <c r="B18" s="30" t="s">
        <v>159</v>
      </c>
      <c r="C18" s="30">
        <v>15</v>
      </c>
      <c r="D18" s="34">
        <v>5</v>
      </c>
      <c r="E18" s="31" t="s">
        <v>160</v>
      </c>
      <c r="F18" s="31" t="s">
        <v>2095</v>
      </c>
      <c r="G18" s="34" t="s">
        <v>2096</v>
      </c>
      <c r="H18" s="37" t="s">
        <v>103</v>
      </c>
      <c r="I18" s="6" t="s">
        <v>163</v>
      </c>
      <c r="J18" s="6" t="s">
        <v>164</v>
      </c>
      <c r="K18" s="6" t="s">
        <v>165</v>
      </c>
    </row>
    <row r="19" spans="1:11" ht="15">
      <c r="A19" s="30">
        <v>16</v>
      </c>
      <c r="B19" s="30" t="s">
        <v>170</v>
      </c>
      <c r="C19" s="30">
        <v>16</v>
      </c>
      <c r="D19" s="34">
        <v>12</v>
      </c>
      <c r="E19" s="31" t="s">
        <v>171</v>
      </c>
      <c r="F19" s="31" t="s">
        <v>2097</v>
      </c>
      <c r="G19" s="34" t="s">
        <v>2098</v>
      </c>
      <c r="H19" s="37" t="s">
        <v>62</v>
      </c>
      <c r="I19" s="6" t="s">
        <v>174</v>
      </c>
      <c r="J19" s="6" t="s">
        <v>175</v>
      </c>
      <c r="K19" s="6" t="s">
        <v>176</v>
      </c>
    </row>
    <row r="20" spans="1:11" ht="15">
      <c r="A20" s="30">
        <v>17</v>
      </c>
      <c r="B20" s="30" t="s">
        <v>179</v>
      </c>
      <c r="C20" s="30">
        <v>17</v>
      </c>
      <c r="D20" s="34">
        <v>5</v>
      </c>
      <c r="E20" s="31" t="s">
        <v>180</v>
      </c>
      <c r="F20" s="31" t="s">
        <v>2099</v>
      </c>
      <c r="G20" s="34" t="s">
        <v>2100</v>
      </c>
      <c r="H20" s="37" t="s">
        <v>103</v>
      </c>
      <c r="I20" s="6" t="s">
        <v>183</v>
      </c>
      <c r="J20" s="6" t="s">
        <v>184</v>
      </c>
      <c r="K20" s="6" t="s">
        <v>185</v>
      </c>
    </row>
    <row r="21" spans="1:11" ht="15">
      <c r="A21" s="30">
        <v>18</v>
      </c>
      <c r="B21" s="30" t="s">
        <v>189</v>
      </c>
      <c r="C21" s="30">
        <v>18</v>
      </c>
      <c r="D21" s="34">
        <v>5</v>
      </c>
      <c r="E21" s="31" t="s">
        <v>190</v>
      </c>
      <c r="F21" s="31" t="s">
        <v>2101</v>
      </c>
      <c r="G21" s="34" t="s">
        <v>2100</v>
      </c>
      <c r="H21" s="37" t="s">
        <v>103</v>
      </c>
      <c r="I21" s="6" t="s">
        <v>193</v>
      </c>
      <c r="J21" s="6" t="s">
        <v>194</v>
      </c>
      <c r="K21" s="6" t="s">
        <v>195</v>
      </c>
    </row>
    <row r="22" spans="1:11" ht="15">
      <c r="A22" s="30">
        <v>19</v>
      </c>
      <c r="B22" s="32" t="s">
        <v>199</v>
      </c>
      <c r="C22" s="30">
        <v>19</v>
      </c>
      <c r="D22" s="34">
        <v>6</v>
      </c>
      <c r="E22" s="33" t="s">
        <v>200</v>
      </c>
      <c r="F22" s="33" t="s">
        <v>2102</v>
      </c>
      <c r="G22" s="34" t="s">
        <v>2103</v>
      </c>
      <c r="H22" s="38" t="s">
        <v>53</v>
      </c>
      <c r="I22" s="10" t="s">
        <v>203</v>
      </c>
      <c r="J22" s="10" t="s">
        <v>204</v>
      </c>
      <c r="K22" s="10" t="s">
        <v>205</v>
      </c>
    </row>
    <row r="23" spans="1:11" ht="15">
      <c r="A23" s="30">
        <v>20</v>
      </c>
      <c r="B23" s="30" t="s">
        <v>208</v>
      </c>
      <c r="C23" s="30">
        <v>20</v>
      </c>
      <c r="D23" s="34">
        <v>5</v>
      </c>
      <c r="E23" s="31" t="s">
        <v>209</v>
      </c>
      <c r="F23" s="31" t="s">
        <v>2104</v>
      </c>
      <c r="G23" s="34" t="s">
        <v>2105</v>
      </c>
      <c r="H23" s="37" t="s">
        <v>103</v>
      </c>
      <c r="I23" s="6" t="s">
        <v>212</v>
      </c>
      <c r="J23" s="6" t="s">
        <v>213</v>
      </c>
      <c r="K23" s="6" t="s">
        <v>214</v>
      </c>
    </row>
    <row r="24" spans="1:11" ht="15">
      <c r="A24" s="30">
        <v>21</v>
      </c>
      <c r="B24" s="30" t="s">
        <v>218</v>
      </c>
      <c r="C24" s="30">
        <v>21</v>
      </c>
      <c r="D24" s="34">
        <v>11</v>
      </c>
      <c r="E24" s="31" t="s">
        <v>219</v>
      </c>
      <c r="F24" s="31" t="s">
        <v>2106</v>
      </c>
      <c r="G24" s="34" t="s">
        <v>2107</v>
      </c>
      <c r="H24" s="37" t="s">
        <v>20</v>
      </c>
      <c r="I24" s="6" t="s">
        <v>222</v>
      </c>
      <c r="J24" s="6" t="s">
        <v>223</v>
      </c>
      <c r="K24" s="11" t="s">
        <v>224</v>
      </c>
    </row>
    <row r="25" spans="1:11" ht="15">
      <c r="A25" s="30">
        <v>22</v>
      </c>
      <c r="B25" s="30" t="s">
        <v>228</v>
      </c>
      <c r="C25" s="30">
        <v>22</v>
      </c>
      <c r="D25" s="34">
        <v>5</v>
      </c>
      <c r="E25" s="31" t="s">
        <v>229</v>
      </c>
      <c r="F25" s="31" t="s">
        <v>2108</v>
      </c>
      <c r="G25" s="34" t="s">
        <v>2109</v>
      </c>
      <c r="H25" s="37" t="s">
        <v>103</v>
      </c>
      <c r="I25" s="6" t="s">
        <v>232</v>
      </c>
      <c r="J25" s="6" t="s">
        <v>233</v>
      </c>
      <c r="K25" s="6" t="s">
        <v>234</v>
      </c>
    </row>
    <row r="26" spans="1:11" ht="30">
      <c r="A26" s="30">
        <v>23</v>
      </c>
      <c r="B26" s="30" t="s">
        <v>240</v>
      </c>
      <c r="C26" s="30">
        <v>23</v>
      </c>
      <c r="D26" s="34">
        <v>5</v>
      </c>
      <c r="E26" s="31" t="s">
        <v>241</v>
      </c>
      <c r="F26" s="31" t="s">
        <v>2110</v>
      </c>
      <c r="G26" s="34" t="s">
        <v>2111</v>
      </c>
      <c r="H26" s="37" t="s">
        <v>103</v>
      </c>
      <c r="I26" s="6" t="s">
        <v>244</v>
      </c>
      <c r="J26" s="6" t="s">
        <v>245</v>
      </c>
      <c r="K26" s="6" t="s">
        <v>246</v>
      </c>
    </row>
    <row r="27" spans="1:11" ht="15">
      <c r="A27" s="30">
        <v>24</v>
      </c>
      <c r="B27" s="30" t="s">
        <v>249</v>
      </c>
      <c r="C27" s="30">
        <v>24</v>
      </c>
      <c r="D27" s="34">
        <v>5</v>
      </c>
      <c r="E27" s="31" t="s">
        <v>250</v>
      </c>
      <c r="F27" s="31" t="s">
        <v>2112</v>
      </c>
      <c r="G27" s="34" t="s">
        <v>2113</v>
      </c>
      <c r="H27" s="37" t="s">
        <v>103</v>
      </c>
      <c r="I27" s="6" t="s">
        <v>253</v>
      </c>
      <c r="J27" s="6" t="s">
        <v>254</v>
      </c>
      <c r="K27" s="6" t="s">
        <v>255</v>
      </c>
    </row>
    <row r="28" spans="1:11" ht="15">
      <c r="A28" s="30">
        <v>25</v>
      </c>
      <c r="B28" s="30" t="s">
        <v>259</v>
      </c>
      <c r="C28" s="30">
        <v>25</v>
      </c>
      <c r="D28" s="34">
        <v>11</v>
      </c>
      <c r="E28" s="31" t="s">
        <v>260</v>
      </c>
      <c r="F28" s="31" t="s">
        <v>2114</v>
      </c>
      <c r="G28" s="34" t="s">
        <v>2115</v>
      </c>
      <c r="H28" s="37" t="s">
        <v>20</v>
      </c>
      <c r="I28" s="6" t="s">
        <v>263</v>
      </c>
      <c r="J28" s="6" t="s">
        <v>264</v>
      </c>
      <c r="K28" s="6" t="s">
        <v>265</v>
      </c>
    </row>
    <row r="29" spans="1:11" ht="15">
      <c r="A29" s="30">
        <v>26</v>
      </c>
      <c r="B29" s="30" t="s">
        <v>268</v>
      </c>
      <c r="C29" s="30">
        <v>26</v>
      </c>
      <c r="D29" s="34">
        <v>8</v>
      </c>
      <c r="E29" s="31" t="s">
        <v>270</v>
      </c>
      <c r="F29" s="31" t="s">
        <v>2116</v>
      </c>
      <c r="G29" s="34" t="s">
        <v>2117</v>
      </c>
      <c r="H29" s="37" t="s">
        <v>269</v>
      </c>
      <c r="I29" s="6" t="s">
        <v>273</v>
      </c>
      <c r="J29" s="6" t="s">
        <v>274</v>
      </c>
      <c r="K29" s="6" t="s">
        <v>275</v>
      </c>
    </row>
    <row r="30" spans="1:11" ht="15">
      <c r="A30" s="30">
        <v>27</v>
      </c>
      <c r="B30" s="30" t="s">
        <v>283</v>
      </c>
      <c r="C30" s="30">
        <v>27</v>
      </c>
      <c r="D30" s="34">
        <v>5</v>
      </c>
      <c r="E30" s="31" t="s">
        <v>284</v>
      </c>
      <c r="F30" s="31" t="s">
        <v>2118</v>
      </c>
      <c r="G30" s="34" t="s">
        <v>2119</v>
      </c>
      <c r="H30" s="37" t="s">
        <v>103</v>
      </c>
      <c r="I30" s="6" t="s">
        <v>287</v>
      </c>
      <c r="J30" s="6" t="s">
        <v>288</v>
      </c>
      <c r="K30" s="6" t="s">
        <v>289</v>
      </c>
    </row>
    <row r="31" spans="1:11" ht="30">
      <c r="A31" s="30">
        <v>28</v>
      </c>
      <c r="B31" s="30" t="s">
        <v>292</v>
      </c>
      <c r="C31" s="30">
        <v>28</v>
      </c>
      <c r="D31" s="34">
        <v>12</v>
      </c>
      <c r="E31" s="31" t="s">
        <v>293</v>
      </c>
      <c r="F31" s="31" t="s">
        <v>2120</v>
      </c>
      <c r="G31" s="34" t="s">
        <v>2121</v>
      </c>
      <c r="H31" s="37" t="s">
        <v>62</v>
      </c>
      <c r="I31" s="6" t="s">
        <v>296</v>
      </c>
      <c r="J31" s="6" t="s">
        <v>297</v>
      </c>
      <c r="K31" s="6" t="s">
        <v>298</v>
      </c>
    </row>
    <row r="32" spans="1:11" ht="15">
      <c r="A32" s="30">
        <v>29</v>
      </c>
      <c r="B32" s="30" t="s">
        <v>304</v>
      </c>
      <c r="C32" s="30">
        <v>29</v>
      </c>
      <c r="D32" s="34">
        <v>4</v>
      </c>
      <c r="E32" s="31" t="s">
        <v>306</v>
      </c>
      <c r="F32" s="31" t="s">
        <v>2122</v>
      </c>
      <c r="G32" s="34" t="s">
        <v>2123</v>
      </c>
      <c r="H32" s="37" t="s">
        <v>305</v>
      </c>
      <c r="I32" s="6" t="s">
        <v>309</v>
      </c>
      <c r="J32" s="6" t="s">
        <v>310</v>
      </c>
      <c r="K32" s="6" t="s">
        <v>311</v>
      </c>
    </row>
    <row r="33" spans="1:11" ht="15">
      <c r="A33" s="30">
        <v>30</v>
      </c>
      <c r="B33" s="30" t="s">
        <v>313</v>
      </c>
      <c r="C33" s="30">
        <v>30</v>
      </c>
      <c r="D33" s="34">
        <v>9</v>
      </c>
      <c r="E33" s="31" t="s">
        <v>315</v>
      </c>
      <c r="F33" s="31" t="s">
        <v>2124</v>
      </c>
      <c r="G33" s="34" t="s">
        <v>2125</v>
      </c>
      <c r="H33" s="37" t="s">
        <v>314</v>
      </c>
      <c r="I33" s="6" t="s">
        <v>318</v>
      </c>
      <c r="J33" s="6" t="s">
        <v>319</v>
      </c>
      <c r="K33" s="6" t="s">
        <v>320</v>
      </c>
    </row>
    <row r="34" spans="1:11" ht="15">
      <c r="A34" s="30">
        <v>31</v>
      </c>
      <c r="B34" s="30" t="s">
        <v>322</v>
      </c>
      <c r="C34" s="30">
        <v>31</v>
      </c>
      <c r="D34" s="34">
        <v>5</v>
      </c>
      <c r="E34" s="31" t="s">
        <v>323</v>
      </c>
      <c r="F34" s="31" t="s">
        <v>2126</v>
      </c>
      <c r="G34" s="34" t="s">
        <v>2125</v>
      </c>
      <c r="H34" s="37" t="s">
        <v>103</v>
      </c>
      <c r="I34" s="6" t="s">
        <v>326</v>
      </c>
      <c r="J34" s="6" t="s">
        <v>327</v>
      </c>
      <c r="K34" s="6" t="s">
        <v>328</v>
      </c>
    </row>
    <row r="35" spans="1:11" ht="15">
      <c r="A35" s="30">
        <v>32</v>
      </c>
      <c r="B35" s="30" t="s">
        <v>331</v>
      </c>
      <c r="C35" s="30">
        <v>32</v>
      </c>
      <c r="D35" s="34">
        <v>5</v>
      </c>
      <c r="E35" s="31" t="s">
        <v>332</v>
      </c>
      <c r="F35" s="31" t="s">
        <v>2127</v>
      </c>
      <c r="G35" s="34" t="s">
        <v>2128</v>
      </c>
      <c r="H35" s="37" t="s">
        <v>103</v>
      </c>
      <c r="I35" s="6" t="s">
        <v>335</v>
      </c>
      <c r="J35" s="6" t="s">
        <v>336</v>
      </c>
      <c r="K35" s="6" t="s">
        <v>337</v>
      </c>
    </row>
    <row r="36" spans="1:11" ht="15">
      <c r="A36" s="30">
        <v>33</v>
      </c>
      <c r="B36" s="30" t="s">
        <v>340</v>
      </c>
      <c r="C36" s="30">
        <v>33</v>
      </c>
      <c r="D36" s="34">
        <v>7</v>
      </c>
      <c r="E36" s="31" t="s">
        <v>341</v>
      </c>
      <c r="F36" s="31" t="s">
        <v>2129</v>
      </c>
      <c r="G36" s="34" t="s">
        <v>2130</v>
      </c>
      <c r="H36" s="37" t="s">
        <v>43</v>
      </c>
      <c r="I36" s="6" t="s">
        <v>344</v>
      </c>
      <c r="J36" s="6" t="s">
        <v>345</v>
      </c>
      <c r="K36" s="6" t="s">
        <v>346</v>
      </c>
    </row>
    <row r="37" spans="1:11" ht="15">
      <c r="A37" s="30">
        <v>34</v>
      </c>
      <c r="B37" s="30" t="s">
        <v>352</v>
      </c>
      <c r="C37" s="30">
        <v>34</v>
      </c>
      <c r="D37" s="34">
        <v>5</v>
      </c>
      <c r="E37" s="31" t="s">
        <v>353</v>
      </c>
      <c r="F37" s="31" t="s">
        <v>2131</v>
      </c>
      <c r="G37" s="34" t="s">
        <v>2132</v>
      </c>
      <c r="H37" s="37" t="s">
        <v>103</v>
      </c>
      <c r="I37" s="6" t="s">
        <v>356</v>
      </c>
      <c r="J37" s="6" t="s">
        <v>357</v>
      </c>
      <c r="K37" s="6" t="s">
        <v>358</v>
      </c>
    </row>
    <row r="38" spans="1:11" ht="15">
      <c r="A38" s="30">
        <v>35</v>
      </c>
      <c r="B38" s="30" t="s">
        <v>362</v>
      </c>
      <c r="C38" s="30">
        <v>35</v>
      </c>
      <c r="D38" s="34">
        <v>12</v>
      </c>
      <c r="E38" s="31" t="s">
        <v>363</v>
      </c>
      <c r="F38" s="31" t="s">
        <v>2133</v>
      </c>
      <c r="G38" s="34" t="s">
        <v>2134</v>
      </c>
      <c r="H38" s="37" t="s">
        <v>62</v>
      </c>
      <c r="I38" s="6" t="s">
        <v>366</v>
      </c>
      <c r="J38" s="6" t="s">
        <v>367</v>
      </c>
      <c r="K38" s="6" t="s">
        <v>368</v>
      </c>
    </row>
    <row r="39" spans="1:11" ht="15">
      <c r="A39" s="30">
        <v>36</v>
      </c>
      <c r="B39" s="30" t="s">
        <v>373</v>
      </c>
      <c r="C39" s="30">
        <v>36</v>
      </c>
      <c r="D39" s="34">
        <v>6</v>
      </c>
      <c r="E39" s="31" t="s">
        <v>374</v>
      </c>
      <c r="F39" s="31" t="s">
        <v>2135</v>
      </c>
      <c r="G39" s="34" t="s">
        <v>2136</v>
      </c>
      <c r="H39" s="37" t="s">
        <v>53</v>
      </c>
      <c r="I39" s="6" t="s">
        <v>377</v>
      </c>
      <c r="J39" s="6" t="s">
        <v>378</v>
      </c>
      <c r="K39" s="6" t="s">
        <v>379</v>
      </c>
    </row>
    <row r="40" spans="1:11" ht="15">
      <c r="A40" s="30">
        <v>37</v>
      </c>
      <c r="B40" s="30" t="s">
        <v>385</v>
      </c>
      <c r="C40" s="30">
        <v>37</v>
      </c>
      <c r="D40" s="34">
        <v>12</v>
      </c>
      <c r="E40" s="31" t="s">
        <v>386</v>
      </c>
      <c r="F40" s="31" t="s">
        <v>2137</v>
      </c>
      <c r="G40" s="34" t="s">
        <v>2138</v>
      </c>
      <c r="H40" s="37" t="s">
        <v>62</v>
      </c>
      <c r="I40" s="6" t="s">
        <v>389</v>
      </c>
      <c r="J40" s="6" t="s">
        <v>390</v>
      </c>
      <c r="K40" s="6" t="s">
        <v>391</v>
      </c>
    </row>
    <row r="41" spans="1:11" ht="30">
      <c r="A41" s="30">
        <v>38</v>
      </c>
      <c r="B41" s="30" t="s">
        <v>396</v>
      </c>
      <c r="C41" s="30">
        <v>38</v>
      </c>
      <c r="D41" s="34">
        <v>3</v>
      </c>
      <c r="E41" s="31" t="s">
        <v>398</v>
      </c>
      <c r="F41" s="31" t="s">
        <v>2139</v>
      </c>
      <c r="G41" s="34" t="s">
        <v>2140</v>
      </c>
      <c r="H41" s="37" t="s">
        <v>397</v>
      </c>
      <c r="I41" s="6" t="s">
        <v>401</v>
      </c>
      <c r="J41" s="6" t="s">
        <v>402</v>
      </c>
      <c r="K41" s="6" t="s">
        <v>403</v>
      </c>
    </row>
    <row r="42" spans="1:11" ht="15">
      <c r="A42" s="30">
        <v>39</v>
      </c>
      <c r="B42" s="30" t="s">
        <v>406</v>
      </c>
      <c r="C42" s="30">
        <v>39</v>
      </c>
      <c r="D42" s="34">
        <v>3</v>
      </c>
      <c r="E42" s="31" t="s">
        <v>407</v>
      </c>
      <c r="F42" s="31" t="s">
        <v>2141</v>
      </c>
      <c r="G42" s="34" t="s">
        <v>2138</v>
      </c>
      <c r="H42" s="37" t="s">
        <v>397</v>
      </c>
      <c r="I42" s="6" t="s">
        <v>410</v>
      </c>
      <c r="J42" s="6" t="s">
        <v>411</v>
      </c>
      <c r="K42" s="6" t="s">
        <v>412</v>
      </c>
    </row>
    <row r="43" spans="1:11" ht="15">
      <c r="A43" s="30">
        <v>40</v>
      </c>
      <c r="B43" s="30" t="s">
        <v>416</v>
      </c>
      <c r="C43" s="30">
        <v>40</v>
      </c>
      <c r="D43" s="34">
        <v>12</v>
      </c>
      <c r="E43" s="31" t="s">
        <v>417</v>
      </c>
      <c r="F43" s="31" t="s">
        <v>2142</v>
      </c>
      <c r="G43" s="34" t="s">
        <v>2138</v>
      </c>
      <c r="H43" s="37" t="s">
        <v>62</v>
      </c>
      <c r="I43" s="6" t="s">
        <v>420</v>
      </c>
      <c r="J43" s="6" t="s">
        <v>421</v>
      </c>
      <c r="K43" s="6" t="s">
        <v>422</v>
      </c>
    </row>
    <row r="44" spans="1:11" ht="15">
      <c r="A44" s="30">
        <v>41</v>
      </c>
      <c r="B44" s="30" t="s">
        <v>428</v>
      </c>
      <c r="C44" s="30">
        <v>41</v>
      </c>
      <c r="D44" s="34">
        <v>3</v>
      </c>
      <c r="E44" s="31" t="s">
        <v>429</v>
      </c>
      <c r="F44" s="31" t="s">
        <v>2143</v>
      </c>
      <c r="G44" s="34" t="s">
        <v>2138</v>
      </c>
      <c r="H44" s="37" t="s">
        <v>397</v>
      </c>
      <c r="I44" s="6" t="s">
        <v>432</v>
      </c>
      <c r="J44" s="6" t="s">
        <v>433</v>
      </c>
      <c r="K44" s="6" t="s">
        <v>434</v>
      </c>
    </row>
    <row r="45" spans="1:11" ht="15">
      <c r="A45" s="30">
        <v>42</v>
      </c>
      <c r="B45" s="30" t="s">
        <v>436</v>
      </c>
      <c r="C45" s="30">
        <v>42</v>
      </c>
      <c r="D45" s="34">
        <v>12</v>
      </c>
      <c r="E45" s="31" t="s">
        <v>437</v>
      </c>
      <c r="F45" s="31" t="s">
        <v>2144</v>
      </c>
      <c r="G45" s="34" t="s">
        <v>2138</v>
      </c>
      <c r="H45" s="37" t="s">
        <v>62</v>
      </c>
      <c r="I45" s="6" t="s">
        <v>296</v>
      </c>
      <c r="J45" s="6" t="s">
        <v>297</v>
      </c>
      <c r="K45" s="6" t="s">
        <v>298</v>
      </c>
    </row>
    <row r="46" spans="1:11" ht="30">
      <c r="A46" s="30">
        <v>43</v>
      </c>
      <c r="B46" s="30" t="s">
        <v>444</v>
      </c>
      <c r="C46" s="30">
        <v>43</v>
      </c>
      <c r="D46" s="34">
        <v>3</v>
      </c>
      <c r="E46" s="31" t="s">
        <v>445</v>
      </c>
      <c r="F46" s="31" t="s">
        <v>2145</v>
      </c>
      <c r="G46" s="34" t="s">
        <v>2138</v>
      </c>
      <c r="H46" s="37" t="s">
        <v>397</v>
      </c>
      <c r="I46" s="6" t="s">
        <v>448</v>
      </c>
      <c r="J46" s="6" t="s">
        <v>449</v>
      </c>
      <c r="K46" s="6" t="s">
        <v>450</v>
      </c>
    </row>
    <row r="47" spans="1:11" ht="15">
      <c r="A47" s="30">
        <v>44</v>
      </c>
      <c r="B47" s="30" t="s">
        <v>453</v>
      </c>
      <c r="C47" s="30">
        <v>44</v>
      </c>
      <c r="D47" s="34">
        <v>12</v>
      </c>
      <c r="E47" s="31" t="s">
        <v>454</v>
      </c>
      <c r="F47" s="31" t="s">
        <v>2146</v>
      </c>
      <c r="G47" s="34" t="s">
        <v>2140</v>
      </c>
      <c r="H47" s="37" t="s">
        <v>62</v>
      </c>
      <c r="I47" s="6" t="s">
        <v>420</v>
      </c>
      <c r="J47" s="6" t="s">
        <v>421</v>
      </c>
      <c r="K47" s="6" t="s">
        <v>422</v>
      </c>
    </row>
    <row r="48" spans="1:11" ht="15">
      <c r="A48" s="30">
        <v>45</v>
      </c>
      <c r="B48" s="30" t="s">
        <v>462</v>
      </c>
      <c r="C48" s="30">
        <v>45</v>
      </c>
      <c r="D48" s="34">
        <v>12</v>
      </c>
      <c r="E48" s="31" t="s">
        <v>463</v>
      </c>
      <c r="F48" s="31" t="s">
        <v>2147</v>
      </c>
      <c r="G48" s="34" t="s">
        <v>2138</v>
      </c>
      <c r="H48" s="37" t="s">
        <v>62</v>
      </c>
      <c r="I48" s="6" t="s">
        <v>420</v>
      </c>
      <c r="J48" s="6" t="s">
        <v>421</v>
      </c>
      <c r="K48" s="6" t="s">
        <v>422</v>
      </c>
    </row>
    <row r="49" spans="1:11" ht="30">
      <c r="A49" s="30">
        <v>46</v>
      </c>
      <c r="B49" s="30" t="s">
        <v>471</v>
      </c>
      <c r="C49" s="30">
        <v>46</v>
      </c>
      <c r="D49" s="34">
        <v>12</v>
      </c>
      <c r="E49" s="31" t="s">
        <v>472</v>
      </c>
      <c r="F49" s="31" t="s">
        <v>2148</v>
      </c>
      <c r="G49" s="34" t="s">
        <v>2138</v>
      </c>
      <c r="H49" s="37" t="s">
        <v>62</v>
      </c>
      <c r="I49" s="6" t="s">
        <v>296</v>
      </c>
      <c r="J49" s="6" t="s">
        <v>297</v>
      </c>
      <c r="K49" s="6" t="s">
        <v>298</v>
      </c>
    </row>
    <row r="50" spans="1:11" ht="30">
      <c r="A50" s="30">
        <v>47</v>
      </c>
      <c r="B50" s="30" t="s">
        <v>480</v>
      </c>
      <c r="C50" s="30">
        <v>47</v>
      </c>
      <c r="D50" s="34">
        <v>12</v>
      </c>
      <c r="E50" s="31" t="s">
        <v>481</v>
      </c>
      <c r="F50" s="31" t="s">
        <v>2149</v>
      </c>
      <c r="G50" s="34" t="s">
        <v>2138</v>
      </c>
      <c r="H50" s="37" t="s">
        <v>62</v>
      </c>
      <c r="I50" s="6" t="s">
        <v>484</v>
      </c>
      <c r="J50" s="6" t="s">
        <v>485</v>
      </c>
      <c r="K50" s="6" t="s">
        <v>486</v>
      </c>
    </row>
    <row r="51" spans="1:11" ht="30">
      <c r="A51" s="30">
        <v>48</v>
      </c>
      <c r="B51" s="30" t="s">
        <v>490</v>
      </c>
      <c r="C51" s="30">
        <v>48</v>
      </c>
      <c r="D51" s="34">
        <v>3</v>
      </c>
      <c r="E51" s="31" t="s">
        <v>491</v>
      </c>
      <c r="F51" s="31" t="s">
        <v>2150</v>
      </c>
      <c r="G51" s="34" t="s">
        <v>2138</v>
      </c>
      <c r="H51" s="37" t="s">
        <v>397</v>
      </c>
      <c r="I51" s="6" t="s">
        <v>494</v>
      </c>
      <c r="J51" s="6" t="s">
        <v>495</v>
      </c>
      <c r="K51" s="6" t="s">
        <v>496</v>
      </c>
    </row>
    <row r="52" spans="1:11" ht="15">
      <c r="A52" s="30">
        <v>49</v>
      </c>
      <c r="B52" s="30" t="s">
        <v>500</v>
      </c>
      <c r="C52" s="30">
        <v>49</v>
      </c>
      <c r="D52" s="34">
        <v>3</v>
      </c>
      <c r="E52" s="31" t="s">
        <v>501</v>
      </c>
      <c r="F52" s="31" t="s">
        <v>2151</v>
      </c>
      <c r="G52" s="34" t="s">
        <v>2140</v>
      </c>
      <c r="H52" s="37" t="s">
        <v>397</v>
      </c>
      <c r="I52" s="6" t="s">
        <v>504</v>
      </c>
      <c r="J52" s="6" t="s">
        <v>505</v>
      </c>
      <c r="K52" s="6" t="s">
        <v>506</v>
      </c>
    </row>
    <row r="53" spans="1:11" ht="30">
      <c r="A53" s="30">
        <v>50</v>
      </c>
      <c r="B53" s="30" t="s">
        <v>509</v>
      </c>
      <c r="C53" s="30">
        <v>50</v>
      </c>
      <c r="D53" s="34">
        <v>3</v>
      </c>
      <c r="E53" s="31" t="s">
        <v>510</v>
      </c>
      <c r="F53" s="31" t="s">
        <v>2152</v>
      </c>
      <c r="G53" s="34" t="s">
        <v>2153</v>
      </c>
      <c r="H53" s="37" t="s">
        <v>397</v>
      </c>
      <c r="I53" s="6" t="s">
        <v>513</v>
      </c>
      <c r="J53" s="6" t="s">
        <v>514</v>
      </c>
      <c r="K53" s="6" t="s">
        <v>515</v>
      </c>
    </row>
    <row r="54" spans="1:11" ht="15">
      <c r="A54" s="30">
        <v>51</v>
      </c>
      <c r="B54" s="30" t="s">
        <v>519</v>
      </c>
      <c r="C54" s="30">
        <v>51</v>
      </c>
      <c r="D54" s="34">
        <v>3</v>
      </c>
      <c r="E54" s="31" t="s">
        <v>520</v>
      </c>
      <c r="F54" s="31" t="s">
        <v>2154</v>
      </c>
      <c r="G54" s="34" t="s">
        <v>2138</v>
      </c>
      <c r="H54" s="37" t="s">
        <v>397</v>
      </c>
      <c r="I54" s="6" t="s">
        <v>523</v>
      </c>
      <c r="J54" s="6" t="s">
        <v>524</v>
      </c>
      <c r="K54" s="6" t="s">
        <v>525</v>
      </c>
    </row>
    <row r="55" spans="1:11" ht="15">
      <c r="A55" s="30">
        <v>52</v>
      </c>
      <c r="B55" s="30" t="s">
        <v>527</v>
      </c>
      <c r="C55" s="30">
        <v>52</v>
      </c>
      <c r="D55" s="34">
        <v>12</v>
      </c>
      <c r="E55" s="31" t="s">
        <v>528</v>
      </c>
      <c r="F55" s="31" t="s">
        <v>2155</v>
      </c>
      <c r="G55" s="34" t="s">
        <v>2156</v>
      </c>
      <c r="H55" s="37" t="s">
        <v>62</v>
      </c>
      <c r="I55" s="6" t="s">
        <v>531</v>
      </c>
      <c r="J55" s="6" t="s">
        <v>532</v>
      </c>
      <c r="K55" s="6" t="s">
        <v>533</v>
      </c>
    </row>
    <row r="56" spans="1:11" ht="15">
      <c r="A56" s="30">
        <v>53</v>
      </c>
      <c r="B56" s="30" t="s">
        <v>539</v>
      </c>
      <c r="C56" s="30">
        <v>53</v>
      </c>
      <c r="D56" s="34">
        <v>12</v>
      </c>
      <c r="E56" s="31" t="s">
        <v>540</v>
      </c>
      <c r="F56" s="31" t="s">
        <v>2157</v>
      </c>
      <c r="G56" s="34" t="s">
        <v>2138</v>
      </c>
      <c r="H56" s="37" t="s">
        <v>62</v>
      </c>
      <c r="I56" s="6" t="s">
        <v>543</v>
      </c>
      <c r="J56" s="6" t="s">
        <v>544</v>
      </c>
      <c r="K56" s="6" t="s">
        <v>545</v>
      </c>
    </row>
    <row r="57" spans="1:11" ht="15">
      <c r="A57" s="30">
        <v>54</v>
      </c>
      <c r="B57" s="30" t="s">
        <v>549</v>
      </c>
      <c r="C57" s="30">
        <v>54</v>
      </c>
      <c r="D57" s="34">
        <v>10</v>
      </c>
      <c r="E57" s="31" t="s">
        <v>551</v>
      </c>
      <c r="F57" s="31" t="s">
        <v>2158</v>
      </c>
      <c r="G57" s="34" t="s">
        <v>2159</v>
      </c>
      <c r="H57" s="37" t="s">
        <v>550</v>
      </c>
      <c r="I57" s="6" t="s">
        <v>554</v>
      </c>
      <c r="J57" s="6" t="s">
        <v>555</v>
      </c>
      <c r="K57" s="6" t="s">
        <v>556</v>
      </c>
    </row>
    <row r="58" spans="1:11" ht="15">
      <c r="A58" s="30">
        <v>55</v>
      </c>
      <c r="B58" s="30" t="s">
        <v>560</v>
      </c>
      <c r="C58" s="30">
        <v>55</v>
      </c>
      <c r="D58" s="34">
        <v>8</v>
      </c>
      <c r="E58" s="31" t="s">
        <v>561</v>
      </c>
      <c r="F58" s="31" t="s">
        <v>2160</v>
      </c>
      <c r="G58" s="34" t="s">
        <v>2161</v>
      </c>
      <c r="H58" s="37" t="s">
        <v>269</v>
      </c>
      <c r="I58" s="6" t="s">
        <v>564</v>
      </c>
      <c r="J58" s="6" t="s">
        <v>565</v>
      </c>
      <c r="K58" s="6" t="s">
        <v>566</v>
      </c>
    </row>
    <row r="59" spans="1:11" ht="15">
      <c r="A59" s="30">
        <v>56</v>
      </c>
      <c r="B59" s="30" t="s">
        <v>569</v>
      </c>
      <c r="C59" s="30">
        <v>56</v>
      </c>
      <c r="D59" s="34">
        <v>7</v>
      </c>
      <c r="E59" s="31" t="s">
        <v>570</v>
      </c>
      <c r="F59" s="31" t="s">
        <v>2162</v>
      </c>
      <c r="G59" s="34" t="s">
        <v>2161</v>
      </c>
      <c r="H59" s="37" t="s">
        <v>43</v>
      </c>
      <c r="I59" s="6" t="s">
        <v>573</v>
      </c>
      <c r="J59" s="6" t="s">
        <v>574</v>
      </c>
      <c r="K59" s="6" t="s">
        <v>575</v>
      </c>
    </row>
    <row r="60" spans="1:11" ht="15">
      <c r="A60" s="30">
        <v>57</v>
      </c>
      <c r="B60" s="30" t="s">
        <v>581</v>
      </c>
      <c r="C60" s="30">
        <v>57</v>
      </c>
      <c r="D60" s="34">
        <v>11</v>
      </c>
      <c r="E60" s="31" t="s">
        <v>582</v>
      </c>
      <c r="F60" s="31" t="s">
        <v>2163</v>
      </c>
      <c r="G60" s="34" t="s">
        <v>2164</v>
      </c>
      <c r="H60" s="37" t="s">
        <v>20</v>
      </c>
      <c r="I60" s="6" t="s">
        <v>585</v>
      </c>
      <c r="J60" s="6" t="s">
        <v>586</v>
      </c>
      <c r="K60" s="6" t="s">
        <v>587</v>
      </c>
    </row>
    <row r="61" spans="1:11" ht="30">
      <c r="A61" s="30">
        <v>58</v>
      </c>
      <c r="B61" s="30" t="s">
        <v>591</v>
      </c>
      <c r="C61" s="30">
        <v>58</v>
      </c>
      <c r="D61" s="34">
        <v>9</v>
      </c>
      <c r="E61" s="31" t="s">
        <v>592</v>
      </c>
      <c r="F61" s="31" t="s">
        <v>2165</v>
      </c>
      <c r="G61" s="34" t="s">
        <v>2166</v>
      </c>
      <c r="H61" s="37" t="s">
        <v>314</v>
      </c>
      <c r="I61" s="6" t="s">
        <v>595</v>
      </c>
      <c r="J61" s="6" t="s">
        <v>596</v>
      </c>
      <c r="K61" s="6" t="s">
        <v>597</v>
      </c>
    </row>
    <row r="62" spans="1:11" ht="15">
      <c r="A62" s="30">
        <v>59</v>
      </c>
      <c r="B62" s="30" t="s">
        <v>602</v>
      </c>
      <c r="C62" s="30">
        <v>59</v>
      </c>
      <c r="D62" s="34">
        <v>11</v>
      </c>
      <c r="E62" s="33" t="s">
        <v>603</v>
      </c>
      <c r="F62" s="31" t="s">
        <v>2167</v>
      </c>
      <c r="G62" s="34" t="s">
        <v>2168</v>
      </c>
      <c r="H62" s="37" t="s">
        <v>20</v>
      </c>
      <c r="I62" s="6" t="s">
        <v>606</v>
      </c>
      <c r="J62" s="6" t="s">
        <v>607</v>
      </c>
      <c r="K62" s="6" t="s">
        <v>608</v>
      </c>
    </row>
    <row r="63" spans="1:11" ht="15">
      <c r="A63" s="30">
        <v>60</v>
      </c>
      <c r="B63" s="30" t="s">
        <v>613</v>
      </c>
      <c r="C63" s="30">
        <v>60</v>
      </c>
      <c r="D63" s="34">
        <v>11</v>
      </c>
      <c r="E63" s="31" t="s">
        <v>614</v>
      </c>
      <c r="F63" s="31" t="s">
        <v>2169</v>
      </c>
      <c r="G63" s="34" t="s">
        <v>2170</v>
      </c>
      <c r="H63" s="37" t="s">
        <v>20</v>
      </c>
      <c r="I63" s="6" t="s">
        <v>617</v>
      </c>
      <c r="J63" s="6" t="s">
        <v>618</v>
      </c>
      <c r="K63" s="6" t="s">
        <v>619</v>
      </c>
    </row>
    <row r="64" spans="1:11" ht="15">
      <c r="A64" s="30">
        <v>61</v>
      </c>
      <c r="B64" s="30" t="s">
        <v>622</v>
      </c>
      <c r="C64" s="30">
        <v>61</v>
      </c>
      <c r="D64" s="34">
        <v>10</v>
      </c>
      <c r="E64" s="31" t="s">
        <v>623</v>
      </c>
      <c r="F64" s="31" t="s">
        <v>2171</v>
      </c>
      <c r="G64" s="34" t="s">
        <v>2168</v>
      </c>
      <c r="H64" s="37" t="s">
        <v>550</v>
      </c>
      <c r="I64" s="6" t="s">
        <v>626</v>
      </c>
      <c r="J64" s="6" t="s">
        <v>627</v>
      </c>
      <c r="K64" s="6" t="s">
        <v>628</v>
      </c>
    </row>
    <row r="65" spans="1:11" ht="30">
      <c r="A65" s="30">
        <v>62</v>
      </c>
      <c r="B65" s="30" t="s">
        <v>633</v>
      </c>
      <c r="C65" s="30">
        <v>62</v>
      </c>
      <c r="D65" s="34">
        <v>10</v>
      </c>
      <c r="E65" s="31" t="s">
        <v>634</v>
      </c>
      <c r="F65" s="31" t="s">
        <v>2172</v>
      </c>
      <c r="G65" s="34" t="s">
        <v>2168</v>
      </c>
      <c r="H65" s="37" t="s">
        <v>550</v>
      </c>
      <c r="I65" s="6" t="s">
        <v>637</v>
      </c>
      <c r="J65" s="6" t="s">
        <v>638</v>
      </c>
      <c r="K65" s="6" t="s">
        <v>639</v>
      </c>
    </row>
    <row r="66" spans="1:11" ht="15">
      <c r="A66" s="30">
        <v>63</v>
      </c>
      <c r="B66" s="30" t="s">
        <v>641</v>
      </c>
      <c r="C66" s="30">
        <v>63</v>
      </c>
      <c r="D66" s="34">
        <v>12</v>
      </c>
      <c r="E66" s="31" t="s">
        <v>642</v>
      </c>
      <c r="F66" s="31" t="s">
        <v>2173</v>
      </c>
      <c r="G66" s="34" t="s">
        <v>2174</v>
      </c>
      <c r="H66" s="37" t="s">
        <v>62</v>
      </c>
      <c r="I66" s="6" t="s">
        <v>645</v>
      </c>
      <c r="J66" s="6" t="s">
        <v>646</v>
      </c>
      <c r="K66" s="6" t="s">
        <v>647</v>
      </c>
    </row>
    <row r="67" spans="1:11" ht="15">
      <c r="A67" s="30">
        <v>64</v>
      </c>
      <c r="B67" s="30" t="s">
        <v>650</v>
      </c>
      <c r="C67" s="30">
        <v>64</v>
      </c>
      <c r="D67" s="34">
        <v>6</v>
      </c>
      <c r="E67" s="31" t="s">
        <v>651</v>
      </c>
      <c r="F67" s="31" t="s">
        <v>2175</v>
      </c>
      <c r="G67" s="34" t="s">
        <v>2176</v>
      </c>
      <c r="H67" s="37" t="s">
        <v>53</v>
      </c>
      <c r="I67" s="6" t="s">
        <v>152</v>
      </c>
      <c r="J67" s="6" t="s">
        <v>153</v>
      </c>
      <c r="K67" s="6" t="s">
        <v>654</v>
      </c>
    </row>
    <row r="68" spans="1:11" ht="15">
      <c r="A68" s="30">
        <v>65</v>
      </c>
      <c r="B68" s="30" t="s">
        <v>660</v>
      </c>
      <c r="C68" s="30">
        <v>65</v>
      </c>
      <c r="D68" s="34">
        <v>6</v>
      </c>
      <c r="E68" s="31" t="s">
        <v>661</v>
      </c>
      <c r="F68" s="31" t="s">
        <v>2177</v>
      </c>
      <c r="G68" s="34" t="s">
        <v>2176</v>
      </c>
      <c r="H68" s="37" t="s">
        <v>53</v>
      </c>
      <c r="I68" s="6" t="s">
        <v>152</v>
      </c>
      <c r="J68" s="6" t="s">
        <v>153</v>
      </c>
      <c r="K68" s="6" t="s">
        <v>664</v>
      </c>
    </row>
    <row r="69" spans="1:11" ht="15">
      <c r="A69" s="30">
        <v>66</v>
      </c>
      <c r="B69" s="30" t="s">
        <v>669</v>
      </c>
      <c r="C69" s="30">
        <v>66</v>
      </c>
      <c r="D69" s="34">
        <v>9</v>
      </c>
      <c r="E69" s="31" t="s">
        <v>670</v>
      </c>
      <c r="F69" s="31" t="s">
        <v>2178</v>
      </c>
      <c r="G69" s="34" t="s">
        <v>2179</v>
      </c>
      <c r="H69" s="37" t="s">
        <v>314</v>
      </c>
      <c r="I69" s="6" t="s">
        <v>673</v>
      </c>
      <c r="J69" s="6" t="s">
        <v>674</v>
      </c>
      <c r="K69" s="6" t="s">
        <v>675</v>
      </c>
    </row>
    <row r="70" spans="1:11" ht="15">
      <c r="A70" s="30">
        <v>67</v>
      </c>
      <c r="B70" s="30" t="s">
        <v>677</v>
      </c>
      <c r="C70" s="30">
        <v>67</v>
      </c>
      <c r="D70" s="34">
        <v>9</v>
      </c>
      <c r="E70" s="31" t="s">
        <v>678</v>
      </c>
      <c r="F70" s="31" t="s">
        <v>2180</v>
      </c>
      <c r="G70" s="34" t="s">
        <v>2181</v>
      </c>
      <c r="H70" s="37" t="s">
        <v>314</v>
      </c>
      <c r="I70" s="6" t="s">
        <v>681</v>
      </c>
      <c r="J70" s="6" t="s">
        <v>682</v>
      </c>
      <c r="K70" s="6" t="s">
        <v>683</v>
      </c>
    </row>
    <row r="71" spans="1:11" ht="15">
      <c r="A71" s="30">
        <v>68</v>
      </c>
      <c r="B71" s="30" t="s">
        <v>685</v>
      </c>
      <c r="C71" s="30">
        <v>68</v>
      </c>
      <c r="D71" s="34">
        <v>5</v>
      </c>
      <c r="E71" s="31" t="s">
        <v>686</v>
      </c>
      <c r="F71" s="31" t="s">
        <v>2182</v>
      </c>
      <c r="G71" s="34" t="s">
        <v>2183</v>
      </c>
      <c r="H71" s="37" t="s">
        <v>103</v>
      </c>
      <c r="I71" s="6" t="s">
        <v>689</v>
      </c>
      <c r="J71" s="6" t="s">
        <v>690</v>
      </c>
      <c r="K71" s="6" t="s">
        <v>691</v>
      </c>
    </row>
    <row r="72" spans="1:11" ht="15">
      <c r="A72" s="30">
        <v>69</v>
      </c>
      <c r="B72" s="30" t="s">
        <v>695</v>
      </c>
      <c r="C72" s="30">
        <v>69</v>
      </c>
      <c r="D72" s="34">
        <v>9</v>
      </c>
      <c r="E72" s="31" t="s">
        <v>696</v>
      </c>
      <c r="F72" s="31" t="s">
        <v>2184</v>
      </c>
      <c r="G72" s="34" t="s">
        <v>2090</v>
      </c>
      <c r="H72" s="37" t="s">
        <v>314</v>
      </c>
      <c r="I72" s="6" t="s">
        <v>699</v>
      </c>
      <c r="J72" s="6" t="s">
        <v>700</v>
      </c>
      <c r="K72" s="6" t="s">
        <v>701</v>
      </c>
    </row>
    <row r="73" spans="1:11" ht="30">
      <c r="A73" s="30">
        <v>70</v>
      </c>
      <c r="B73" s="30" t="s">
        <v>704</v>
      </c>
      <c r="C73" s="30">
        <v>70</v>
      </c>
      <c r="D73" s="34">
        <v>9</v>
      </c>
      <c r="E73" s="31" t="s">
        <v>705</v>
      </c>
      <c r="F73" s="31" t="s">
        <v>2185</v>
      </c>
      <c r="G73" s="34" t="s">
        <v>2090</v>
      </c>
      <c r="H73" s="37" t="s">
        <v>314</v>
      </c>
      <c r="I73" s="6" t="s">
        <v>708</v>
      </c>
      <c r="J73" s="6" t="s">
        <v>709</v>
      </c>
      <c r="K73" s="6" t="s">
        <v>710</v>
      </c>
    </row>
    <row r="74" spans="1:11" ht="30">
      <c r="A74" s="30">
        <v>71</v>
      </c>
      <c r="B74" s="30" t="s">
        <v>714</v>
      </c>
      <c r="C74" s="30">
        <v>71</v>
      </c>
      <c r="D74" s="34">
        <v>9</v>
      </c>
      <c r="E74" s="31" t="s">
        <v>715</v>
      </c>
      <c r="F74" s="31" t="s">
        <v>2186</v>
      </c>
      <c r="G74" s="34" t="s">
        <v>2090</v>
      </c>
      <c r="H74" s="37" t="s">
        <v>314</v>
      </c>
      <c r="I74" s="6" t="s">
        <v>718</v>
      </c>
      <c r="J74" s="6" t="s">
        <v>719</v>
      </c>
      <c r="K74" s="6" t="s">
        <v>720</v>
      </c>
    </row>
    <row r="75" spans="1:11" ht="15">
      <c r="A75" s="30">
        <v>72</v>
      </c>
      <c r="B75" s="30" t="s">
        <v>723</v>
      </c>
      <c r="C75" s="30">
        <v>72</v>
      </c>
      <c r="D75" s="34">
        <v>11</v>
      </c>
      <c r="E75" s="31" t="s">
        <v>724</v>
      </c>
      <c r="F75" s="31" t="s">
        <v>2187</v>
      </c>
      <c r="G75" s="34" t="s">
        <v>2188</v>
      </c>
      <c r="H75" s="37" t="s">
        <v>20</v>
      </c>
      <c r="I75" s="6" t="s">
        <v>727</v>
      </c>
      <c r="J75" s="6" t="s">
        <v>728</v>
      </c>
      <c r="K75" s="6" t="s">
        <v>729</v>
      </c>
    </row>
    <row r="76" spans="1:11" ht="15">
      <c r="A76" s="30">
        <v>73</v>
      </c>
      <c r="B76" s="30" t="s">
        <v>733</v>
      </c>
      <c r="C76" s="30">
        <v>73</v>
      </c>
      <c r="D76" s="34">
        <v>10</v>
      </c>
      <c r="E76" s="31" t="s">
        <v>734</v>
      </c>
      <c r="F76" s="31" t="s">
        <v>2189</v>
      </c>
      <c r="G76" s="34" t="s">
        <v>2188</v>
      </c>
      <c r="H76" s="37" t="s">
        <v>550</v>
      </c>
      <c r="I76" s="6" t="s">
        <v>737</v>
      </c>
      <c r="J76" s="6" t="s">
        <v>738</v>
      </c>
      <c r="K76" s="6" t="s">
        <v>739</v>
      </c>
    </row>
    <row r="77" spans="1:11" ht="15">
      <c r="A77" s="30">
        <v>74</v>
      </c>
      <c r="B77" s="30" t="s">
        <v>742</v>
      </c>
      <c r="C77" s="30">
        <v>74</v>
      </c>
      <c r="D77" s="34">
        <v>10</v>
      </c>
      <c r="E77" s="31" t="s">
        <v>743</v>
      </c>
      <c r="F77" s="31" t="s">
        <v>2190</v>
      </c>
      <c r="G77" s="34" t="s">
        <v>2191</v>
      </c>
      <c r="H77" s="37" t="s">
        <v>550</v>
      </c>
      <c r="I77" s="6" t="s">
        <v>746</v>
      </c>
      <c r="J77" s="6" t="s">
        <v>747</v>
      </c>
      <c r="K77" s="6" t="s">
        <v>748</v>
      </c>
    </row>
    <row r="78" spans="1:11" ht="30">
      <c r="A78" s="30">
        <v>75</v>
      </c>
      <c r="B78" s="30" t="s">
        <v>751</v>
      </c>
      <c r="C78" s="30">
        <v>75</v>
      </c>
      <c r="D78" s="34">
        <v>11</v>
      </c>
      <c r="E78" s="31" t="s">
        <v>752</v>
      </c>
      <c r="F78" s="31" t="s">
        <v>2192</v>
      </c>
      <c r="G78" s="34" t="s">
        <v>2193</v>
      </c>
      <c r="H78" s="37" t="s">
        <v>20</v>
      </c>
      <c r="I78" s="6" t="s">
        <v>755</v>
      </c>
      <c r="J78" s="6" t="s">
        <v>756</v>
      </c>
      <c r="K78" s="6" t="s">
        <v>757</v>
      </c>
    </row>
    <row r="79" spans="1:11" ht="15">
      <c r="A79" s="30">
        <v>76</v>
      </c>
      <c r="B79" s="30" t="s">
        <v>760</v>
      </c>
      <c r="C79" s="30">
        <v>76</v>
      </c>
      <c r="D79" s="34">
        <v>5</v>
      </c>
      <c r="E79" s="31" t="s">
        <v>761</v>
      </c>
      <c r="F79" s="31" t="s">
        <v>2194</v>
      </c>
      <c r="G79" s="34" t="s">
        <v>2195</v>
      </c>
      <c r="H79" s="37" t="s">
        <v>103</v>
      </c>
      <c r="I79" s="6" t="s">
        <v>764</v>
      </c>
      <c r="J79" s="6" t="s">
        <v>765</v>
      </c>
      <c r="K79" s="6" t="s">
        <v>766</v>
      </c>
    </row>
    <row r="80" spans="1:11" ht="15">
      <c r="A80" s="30">
        <v>77</v>
      </c>
      <c r="B80" s="30" t="s">
        <v>771</v>
      </c>
      <c r="C80" s="30">
        <v>77</v>
      </c>
      <c r="D80" s="34">
        <v>11</v>
      </c>
      <c r="E80" s="31" t="s">
        <v>772</v>
      </c>
      <c r="F80" s="31" t="s">
        <v>2196</v>
      </c>
      <c r="G80" s="34" t="s">
        <v>2197</v>
      </c>
      <c r="H80" s="37" t="s">
        <v>20</v>
      </c>
      <c r="I80" s="6" t="s">
        <v>775</v>
      </c>
      <c r="J80" s="6" t="s">
        <v>776</v>
      </c>
      <c r="K80" s="6" t="s">
        <v>777</v>
      </c>
    </row>
    <row r="81" spans="1:11" ht="15">
      <c r="A81" s="30">
        <v>78</v>
      </c>
      <c r="B81" s="30" t="s">
        <v>780</v>
      </c>
      <c r="C81" s="30">
        <v>78</v>
      </c>
      <c r="D81" s="34">
        <v>11</v>
      </c>
      <c r="E81" s="31" t="s">
        <v>781</v>
      </c>
      <c r="F81" s="31" t="s">
        <v>2198</v>
      </c>
      <c r="G81" s="34" t="s">
        <v>2199</v>
      </c>
      <c r="H81" s="37" t="s">
        <v>20</v>
      </c>
      <c r="I81" s="6" t="s">
        <v>784</v>
      </c>
      <c r="J81" s="6" t="s">
        <v>785</v>
      </c>
      <c r="K81" s="6" t="s">
        <v>786</v>
      </c>
    </row>
    <row r="82" spans="1:11" ht="15">
      <c r="A82" s="30">
        <v>79</v>
      </c>
      <c r="B82" s="30" t="s">
        <v>789</v>
      </c>
      <c r="C82" s="30">
        <v>79</v>
      </c>
      <c r="D82" s="34">
        <v>5</v>
      </c>
      <c r="E82" s="31" t="s">
        <v>790</v>
      </c>
      <c r="F82" s="31" t="s">
        <v>2200</v>
      </c>
      <c r="G82" s="34" t="s">
        <v>2201</v>
      </c>
      <c r="H82" s="37" t="s">
        <v>103</v>
      </c>
      <c r="I82" s="6" t="s">
        <v>793</v>
      </c>
      <c r="J82" s="6" t="s">
        <v>794</v>
      </c>
      <c r="K82" s="6" t="s">
        <v>795</v>
      </c>
    </row>
    <row r="83" spans="1:11" ht="15">
      <c r="A83" s="30">
        <v>80</v>
      </c>
      <c r="B83" s="30" t="s">
        <v>799</v>
      </c>
      <c r="C83" s="30">
        <v>80</v>
      </c>
      <c r="D83" s="34">
        <v>11</v>
      </c>
      <c r="E83" s="31" t="s">
        <v>800</v>
      </c>
      <c r="F83" s="31" t="s">
        <v>2202</v>
      </c>
      <c r="G83" s="34" t="s">
        <v>2203</v>
      </c>
      <c r="H83" s="37" t="s">
        <v>20</v>
      </c>
      <c r="I83" s="6" t="s">
        <v>803</v>
      </c>
      <c r="J83" s="6" t="s">
        <v>804</v>
      </c>
      <c r="K83" s="6" t="s">
        <v>805</v>
      </c>
    </row>
    <row r="84" spans="1:11" ht="15">
      <c r="A84" s="30">
        <v>81</v>
      </c>
      <c r="B84" s="30" t="s">
        <v>808</v>
      </c>
      <c r="C84" s="30">
        <v>81</v>
      </c>
      <c r="D84" s="34">
        <v>11</v>
      </c>
      <c r="E84" s="31" t="s">
        <v>809</v>
      </c>
      <c r="F84" s="31" t="s">
        <v>2204</v>
      </c>
      <c r="G84" s="34" t="s">
        <v>2205</v>
      </c>
      <c r="H84" s="37" t="s">
        <v>20</v>
      </c>
      <c r="I84" s="6" t="s">
        <v>803</v>
      </c>
      <c r="J84" s="6" t="s">
        <v>804</v>
      </c>
      <c r="K84" s="6" t="s">
        <v>805</v>
      </c>
    </row>
    <row r="85" spans="1:11" ht="15">
      <c r="A85" s="30">
        <v>82</v>
      </c>
      <c r="B85" s="30" t="s">
        <v>817</v>
      </c>
      <c r="C85" s="30">
        <v>82</v>
      </c>
      <c r="D85" s="34">
        <v>11</v>
      </c>
      <c r="E85" s="31" t="s">
        <v>818</v>
      </c>
      <c r="F85" s="31" t="s">
        <v>2206</v>
      </c>
      <c r="G85" s="34" t="s">
        <v>2207</v>
      </c>
      <c r="H85" s="37" t="s">
        <v>20</v>
      </c>
      <c r="I85" s="6" t="s">
        <v>821</v>
      </c>
      <c r="J85" s="6" t="s">
        <v>822</v>
      </c>
      <c r="K85" s="6" t="s">
        <v>823</v>
      </c>
    </row>
    <row r="86" spans="1:11" ht="15">
      <c r="A86" s="30">
        <v>83</v>
      </c>
      <c r="B86" s="30" t="s">
        <v>826</v>
      </c>
      <c r="C86" s="30">
        <v>83</v>
      </c>
      <c r="D86" s="34">
        <v>11</v>
      </c>
      <c r="E86" s="31" t="s">
        <v>827</v>
      </c>
      <c r="F86" s="31" t="s">
        <v>2208</v>
      </c>
      <c r="G86" s="34" t="s">
        <v>2207</v>
      </c>
      <c r="H86" s="37" t="s">
        <v>20</v>
      </c>
      <c r="I86" s="6" t="s">
        <v>821</v>
      </c>
      <c r="J86" s="6" t="s">
        <v>830</v>
      </c>
      <c r="K86" s="6" t="s">
        <v>823</v>
      </c>
    </row>
    <row r="87" spans="1:11" ht="15">
      <c r="A87" s="30">
        <v>84</v>
      </c>
      <c r="B87" s="30" t="s">
        <v>833</v>
      </c>
      <c r="C87" s="30">
        <v>84</v>
      </c>
      <c r="D87" s="34">
        <v>5</v>
      </c>
      <c r="E87" s="31" t="s">
        <v>834</v>
      </c>
      <c r="F87" s="31" t="s">
        <v>2209</v>
      </c>
      <c r="G87" s="34" t="s">
        <v>2210</v>
      </c>
      <c r="H87" s="37" t="s">
        <v>103</v>
      </c>
      <c r="I87" s="6" t="s">
        <v>837</v>
      </c>
      <c r="J87" s="6" t="s">
        <v>838</v>
      </c>
      <c r="K87" s="6" t="s">
        <v>839</v>
      </c>
    </row>
    <row r="88" spans="1:11" ht="30">
      <c r="A88" s="30">
        <v>85</v>
      </c>
      <c r="B88" s="30" t="s">
        <v>842</v>
      </c>
      <c r="C88" s="30">
        <v>85</v>
      </c>
      <c r="D88" s="34">
        <v>9</v>
      </c>
      <c r="E88" s="31" t="s">
        <v>843</v>
      </c>
      <c r="F88" s="31" t="s">
        <v>2211</v>
      </c>
      <c r="G88" s="34" t="s">
        <v>2212</v>
      </c>
      <c r="H88" s="37" t="s">
        <v>314</v>
      </c>
      <c r="I88" s="6" t="s">
        <v>846</v>
      </c>
      <c r="J88" s="6" t="s">
        <v>847</v>
      </c>
      <c r="K88" s="6" t="s">
        <v>848</v>
      </c>
    </row>
    <row r="89" spans="1:11" ht="15">
      <c r="A89" s="30">
        <v>86</v>
      </c>
      <c r="B89" s="30" t="s">
        <v>852</v>
      </c>
      <c r="C89" s="30">
        <v>86</v>
      </c>
      <c r="D89" s="34">
        <v>3</v>
      </c>
      <c r="E89" s="31" t="s">
        <v>853</v>
      </c>
      <c r="F89" s="31" t="s">
        <v>2213</v>
      </c>
      <c r="G89" s="34" t="s">
        <v>2214</v>
      </c>
      <c r="H89" s="37" t="s">
        <v>397</v>
      </c>
      <c r="I89" s="6" t="s">
        <v>856</v>
      </c>
      <c r="J89" s="6" t="s">
        <v>857</v>
      </c>
      <c r="K89" s="6" t="s">
        <v>858</v>
      </c>
    </row>
    <row r="90" spans="1:11" ht="30">
      <c r="A90" s="30">
        <v>87</v>
      </c>
      <c r="B90" s="30" t="s">
        <v>861</v>
      </c>
      <c r="C90" s="30">
        <v>87</v>
      </c>
      <c r="D90" s="34">
        <v>6</v>
      </c>
      <c r="E90" s="31" t="s">
        <v>862</v>
      </c>
      <c r="F90" s="31" t="s">
        <v>2215</v>
      </c>
      <c r="G90" s="34" t="s">
        <v>2216</v>
      </c>
      <c r="H90" s="37" t="s">
        <v>53</v>
      </c>
      <c r="I90" s="6" t="s">
        <v>865</v>
      </c>
      <c r="J90" s="6" t="s">
        <v>866</v>
      </c>
      <c r="K90" s="6" t="s">
        <v>867</v>
      </c>
    </row>
    <row r="91" spans="1:11" ht="30">
      <c r="A91" s="30">
        <v>88</v>
      </c>
      <c r="B91" s="30" t="s">
        <v>872</v>
      </c>
      <c r="C91" s="30">
        <v>88</v>
      </c>
      <c r="D91" s="34">
        <v>4</v>
      </c>
      <c r="E91" s="31" t="s">
        <v>873</v>
      </c>
      <c r="F91" s="31" t="s">
        <v>2217</v>
      </c>
      <c r="G91" s="34" t="s">
        <v>2218</v>
      </c>
      <c r="H91" s="37" t="s">
        <v>305</v>
      </c>
      <c r="I91" s="6" t="s">
        <v>876</v>
      </c>
      <c r="J91" s="6" t="s">
        <v>877</v>
      </c>
      <c r="K91" s="6" t="s">
        <v>878</v>
      </c>
    </row>
    <row r="92" spans="1:11" ht="15">
      <c r="A92" s="30">
        <v>89</v>
      </c>
      <c r="B92" s="30" t="s">
        <v>882</v>
      </c>
      <c r="C92" s="30">
        <v>89</v>
      </c>
      <c r="D92" s="34">
        <v>5</v>
      </c>
      <c r="E92" s="31" t="s">
        <v>883</v>
      </c>
      <c r="F92" s="31" t="s">
        <v>2083</v>
      </c>
      <c r="G92" s="34" t="s">
        <v>2084</v>
      </c>
      <c r="H92" s="37" t="s">
        <v>103</v>
      </c>
      <c r="I92" s="6" t="s">
        <v>885</v>
      </c>
      <c r="J92" s="6" t="s">
        <v>886</v>
      </c>
      <c r="K92" s="6" t="s">
        <v>887</v>
      </c>
    </row>
    <row r="93" spans="1:11" ht="15">
      <c r="A93" s="30">
        <v>90</v>
      </c>
      <c r="B93" s="30" t="s">
        <v>891</v>
      </c>
      <c r="C93" s="30">
        <v>90</v>
      </c>
      <c r="D93" s="34">
        <v>7</v>
      </c>
      <c r="E93" s="31" t="s">
        <v>892</v>
      </c>
      <c r="F93" s="31" t="s">
        <v>2219</v>
      </c>
      <c r="G93" s="34" t="s">
        <v>2220</v>
      </c>
      <c r="H93" s="37" t="s">
        <v>43</v>
      </c>
      <c r="I93" s="6" t="s">
        <v>895</v>
      </c>
      <c r="J93" s="6" t="s">
        <v>896</v>
      </c>
      <c r="K93" s="6" t="s">
        <v>897</v>
      </c>
    </row>
    <row r="94" spans="1:11" ht="15">
      <c r="A94" s="30">
        <v>91</v>
      </c>
      <c r="B94" s="30" t="s">
        <v>900</v>
      </c>
      <c r="C94" s="30">
        <v>91</v>
      </c>
      <c r="D94" s="34">
        <v>4</v>
      </c>
      <c r="E94" s="31" t="s">
        <v>901</v>
      </c>
      <c r="F94" s="31" t="s">
        <v>2221</v>
      </c>
      <c r="G94" s="34" t="s">
        <v>2220</v>
      </c>
      <c r="H94" s="37" t="s">
        <v>305</v>
      </c>
      <c r="I94" s="6" t="s">
        <v>904</v>
      </c>
      <c r="J94" s="6" t="s">
        <v>905</v>
      </c>
      <c r="K94" s="6" t="s">
        <v>906</v>
      </c>
    </row>
    <row r="95" spans="1:11" ht="15">
      <c r="A95" s="30">
        <v>92</v>
      </c>
      <c r="B95" s="30" t="s">
        <v>909</v>
      </c>
      <c r="C95" s="30">
        <v>92</v>
      </c>
      <c r="D95" s="34">
        <v>4</v>
      </c>
      <c r="E95" s="31" t="s">
        <v>910</v>
      </c>
      <c r="F95" s="31" t="s">
        <v>2222</v>
      </c>
      <c r="G95" s="34" t="s">
        <v>2220</v>
      </c>
      <c r="H95" s="37" t="s">
        <v>305</v>
      </c>
      <c r="I95" s="6" t="s">
        <v>913</v>
      </c>
      <c r="J95" s="6" t="s">
        <v>914</v>
      </c>
      <c r="K95" s="6" t="s">
        <v>915</v>
      </c>
    </row>
    <row r="96" spans="1:11" ht="15">
      <c r="A96" s="30">
        <v>93</v>
      </c>
      <c r="B96" s="30" t="s">
        <v>918</v>
      </c>
      <c r="C96" s="30">
        <v>93</v>
      </c>
      <c r="D96" s="34">
        <v>4</v>
      </c>
      <c r="E96" s="31" t="s">
        <v>919</v>
      </c>
      <c r="F96" s="31" t="s">
        <v>2223</v>
      </c>
      <c r="G96" s="34" t="s">
        <v>2220</v>
      </c>
      <c r="H96" s="37" t="s">
        <v>305</v>
      </c>
      <c r="I96" s="6" t="s">
        <v>922</v>
      </c>
      <c r="J96" s="6" t="s">
        <v>923</v>
      </c>
      <c r="K96" s="6" t="s">
        <v>924</v>
      </c>
    </row>
    <row r="97" spans="1:11" ht="15">
      <c r="A97" s="30">
        <v>94</v>
      </c>
      <c r="B97" s="30" t="s">
        <v>926</v>
      </c>
      <c r="C97" s="30">
        <v>94</v>
      </c>
      <c r="D97" s="34">
        <v>7</v>
      </c>
      <c r="E97" s="31" t="s">
        <v>927</v>
      </c>
      <c r="F97" s="31" t="s">
        <v>2224</v>
      </c>
      <c r="G97" s="34" t="s">
        <v>2220</v>
      </c>
      <c r="H97" s="37" t="s">
        <v>43</v>
      </c>
      <c r="I97" s="6" t="s">
        <v>930</v>
      </c>
      <c r="J97" s="6" t="s">
        <v>931</v>
      </c>
      <c r="K97" s="6" t="s">
        <v>932</v>
      </c>
    </row>
    <row r="98" spans="1:11" ht="15">
      <c r="A98" s="30">
        <v>95</v>
      </c>
      <c r="B98" s="30" t="s">
        <v>935</v>
      </c>
      <c r="C98" s="30">
        <v>95</v>
      </c>
      <c r="D98" s="34">
        <v>11</v>
      </c>
      <c r="E98" s="31" t="s">
        <v>936</v>
      </c>
      <c r="F98" s="31" t="s">
        <v>2225</v>
      </c>
      <c r="G98" s="34" t="s">
        <v>2226</v>
      </c>
      <c r="H98" s="37" t="s">
        <v>20</v>
      </c>
      <c r="I98" s="6" t="s">
        <v>939</v>
      </c>
      <c r="J98" s="6" t="s">
        <v>940</v>
      </c>
      <c r="K98" s="6" t="s">
        <v>941</v>
      </c>
    </row>
    <row r="99" spans="1:11" ht="15">
      <c r="A99" s="30">
        <v>96</v>
      </c>
      <c r="B99" s="30" t="s">
        <v>944</v>
      </c>
      <c r="C99" s="30">
        <v>96</v>
      </c>
      <c r="D99" s="34">
        <v>7</v>
      </c>
      <c r="E99" s="31" t="s">
        <v>945</v>
      </c>
      <c r="F99" s="31" t="s">
        <v>2227</v>
      </c>
      <c r="G99" s="34" t="s">
        <v>2228</v>
      </c>
      <c r="H99" s="37" t="s">
        <v>43</v>
      </c>
      <c r="I99" s="6" t="s">
        <v>948</v>
      </c>
      <c r="J99" s="6" t="s">
        <v>949</v>
      </c>
      <c r="K99" s="6" t="s">
        <v>950</v>
      </c>
    </row>
    <row r="100" spans="1:11" ht="15">
      <c r="A100" s="30">
        <v>97</v>
      </c>
      <c r="B100" s="30" t="s">
        <v>953</v>
      </c>
      <c r="C100" s="30">
        <v>97</v>
      </c>
      <c r="D100" s="34">
        <v>10</v>
      </c>
      <c r="E100" s="31" t="s">
        <v>954</v>
      </c>
      <c r="F100" s="31" t="s">
        <v>2229</v>
      </c>
      <c r="G100" s="34" t="s">
        <v>2230</v>
      </c>
      <c r="H100" s="37" t="s">
        <v>550</v>
      </c>
      <c r="I100" s="6" t="s">
        <v>957</v>
      </c>
      <c r="J100" s="6" t="s">
        <v>958</v>
      </c>
      <c r="K100" s="6" t="s">
        <v>959</v>
      </c>
    </row>
    <row r="101" spans="1:11" ht="15">
      <c r="A101" s="30">
        <v>98</v>
      </c>
      <c r="B101" s="30" t="s">
        <v>964</v>
      </c>
      <c r="C101" s="30">
        <v>98</v>
      </c>
      <c r="D101" s="34">
        <v>10</v>
      </c>
      <c r="E101" s="31" t="s">
        <v>965</v>
      </c>
      <c r="F101" s="31" t="s">
        <v>2231</v>
      </c>
      <c r="G101" s="34" t="s">
        <v>2230</v>
      </c>
      <c r="H101" s="37" t="s">
        <v>550</v>
      </c>
      <c r="I101" s="6" t="s">
        <v>968</v>
      </c>
      <c r="J101" s="6" t="s">
        <v>969</v>
      </c>
      <c r="K101" s="6" t="s">
        <v>970</v>
      </c>
    </row>
    <row r="102" spans="1:11" ht="15">
      <c r="A102" s="30">
        <v>99</v>
      </c>
      <c r="B102" s="30" t="s">
        <v>973</v>
      </c>
      <c r="C102" s="30">
        <v>99</v>
      </c>
      <c r="D102" s="34">
        <v>5</v>
      </c>
      <c r="E102" s="31" t="s">
        <v>974</v>
      </c>
      <c r="F102" s="31" t="s">
        <v>2232</v>
      </c>
      <c r="G102" s="34" t="s">
        <v>2233</v>
      </c>
      <c r="H102" s="37" t="s">
        <v>103</v>
      </c>
      <c r="I102" s="6" t="s">
        <v>977</v>
      </c>
      <c r="J102" s="6" t="s">
        <v>978</v>
      </c>
      <c r="K102" s="6" t="s">
        <v>979</v>
      </c>
    </row>
    <row r="103" spans="1:11" ht="15">
      <c r="A103" s="30">
        <v>100</v>
      </c>
      <c r="B103" s="30" t="s">
        <v>982</v>
      </c>
      <c r="C103" s="30">
        <v>100</v>
      </c>
      <c r="D103" s="34">
        <v>10</v>
      </c>
      <c r="E103" s="31" t="s">
        <v>983</v>
      </c>
      <c r="F103" s="31" t="s">
        <v>2234</v>
      </c>
      <c r="G103" s="34" t="s">
        <v>2235</v>
      </c>
      <c r="H103" s="37" t="s">
        <v>550</v>
      </c>
      <c r="I103" s="6" t="s">
        <v>986</v>
      </c>
      <c r="J103" s="6" t="s">
        <v>987</v>
      </c>
      <c r="K103" s="6" t="s">
        <v>988</v>
      </c>
    </row>
    <row r="104" spans="1:11" ht="30">
      <c r="A104" s="30">
        <v>101</v>
      </c>
      <c r="B104" s="30" t="s">
        <v>990</v>
      </c>
      <c r="C104" s="30">
        <v>101</v>
      </c>
      <c r="D104" s="34">
        <v>10</v>
      </c>
      <c r="E104" s="31" t="s">
        <v>991</v>
      </c>
      <c r="F104" s="31" t="s">
        <v>2236</v>
      </c>
      <c r="G104" s="34" t="s">
        <v>2237</v>
      </c>
      <c r="H104" s="37" t="s">
        <v>550</v>
      </c>
      <c r="I104" s="6" t="s">
        <v>994</v>
      </c>
      <c r="J104" s="6" t="s">
        <v>995</v>
      </c>
      <c r="K104" s="6" t="s">
        <v>996</v>
      </c>
    </row>
    <row r="105" spans="1:11" ht="30">
      <c r="A105" s="30">
        <v>102</v>
      </c>
      <c r="B105" s="30" t="s">
        <v>1000</v>
      </c>
      <c r="C105" s="30">
        <v>102</v>
      </c>
      <c r="D105" s="34">
        <v>10</v>
      </c>
      <c r="E105" s="31" t="s">
        <v>1001</v>
      </c>
      <c r="F105" s="31" t="s">
        <v>2238</v>
      </c>
      <c r="G105" s="34" t="s">
        <v>2237</v>
      </c>
      <c r="H105" s="37" t="s">
        <v>550</v>
      </c>
      <c r="I105" s="6" t="s">
        <v>1004</v>
      </c>
      <c r="J105" s="6" t="s">
        <v>1005</v>
      </c>
      <c r="K105" s="6" t="s">
        <v>1006</v>
      </c>
    </row>
    <row r="106" spans="1:11" ht="15">
      <c r="A106" s="30">
        <v>103</v>
      </c>
      <c r="B106" s="30" t="s">
        <v>1010</v>
      </c>
      <c r="C106" s="30">
        <v>103</v>
      </c>
      <c r="D106" s="34">
        <v>10</v>
      </c>
      <c r="E106" s="31" t="s">
        <v>1011</v>
      </c>
      <c r="F106" s="31" t="s">
        <v>2239</v>
      </c>
      <c r="G106" s="34" t="s">
        <v>2237</v>
      </c>
      <c r="H106" s="37" t="s">
        <v>550</v>
      </c>
      <c r="I106" s="6" t="s">
        <v>1014</v>
      </c>
      <c r="J106" s="6" t="s">
        <v>1015</v>
      </c>
      <c r="K106" s="6" t="s">
        <v>1016</v>
      </c>
    </row>
    <row r="107" spans="1:11" ht="15">
      <c r="A107" s="30">
        <v>104</v>
      </c>
      <c r="B107" s="30" t="s">
        <v>1018</v>
      </c>
      <c r="C107" s="30">
        <v>104</v>
      </c>
      <c r="D107" s="34">
        <v>5</v>
      </c>
      <c r="E107" s="31" t="s">
        <v>1019</v>
      </c>
      <c r="F107" s="31" t="s">
        <v>2240</v>
      </c>
      <c r="G107" s="34" t="s">
        <v>2241</v>
      </c>
      <c r="H107" s="37" t="s">
        <v>103</v>
      </c>
      <c r="I107" s="6" t="s">
        <v>1022</v>
      </c>
      <c r="J107" s="6" t="s">
        <v>1023</v>
      </c>
      <c r="K107" s="6" t="s">
        <v>1024</v>
      </c>
    </row>
    <row r="108" spans="1:11" ht="15">
      <c r="A108" s="30">
        <v>105</v>
      </c>
      <c r="B108" s="30" t="s">
        <v>1028</v>
      </c>
      <c r="C108" s="30">
        <v>105</v>
      </c>
      <c r="D108" s="34">
        <v>12</v>
      </c>
      <c r="E108" s="31" t="s">
        <v>1029</v>
      </c>
      <c r="F108" s="31" t="s">
        <v>2242</v>
      </c>
      <c r="G108" s="34" t="s">
        <v>2243</v>
      </c>
      <c r="H108" s="37" t="s">
        <v>62</v>
      </c>
      <c r="I108" s="6" t="s">
        <v>1032</v>
      </c>
      <c r="J108" s="6" t="s">
        <v>1033</v>
      </c>
      <c r="K108" s="6" t="s">
        <v>1034</v>
      </c>
    </row>
    <row r="109" spans="1:11" ht="15">
      <c r="A109" s="30">
        <v>106</v>
      </c>
      <c r="B109" s="30" t="s">
        <v>1037</v>
      </c>
      <c r="C109" s="30">
        <v>106</v>
      </c>
      <c r="D109" s="34">
        <v>12</v>
      </c>
      <c r="E109" s="31" t="s">
        <v>1038</v>
      </c>
      <c r="F109" s="31" t="s">
        <v>2244</v>
      </c>
      <c r="G109" s="34" t="s">
        <v>2243</v>
      </c>
      <c r="H109" s="37" t="s">
        <v>62</v>
      </c>
      <c r="I109" s="6" t="s">
        <v>1041</v>
      </c>
      <c r="J109" s="6" t="s">
        <v>1042</v>
      </c>
      <c r="K109" s="6" t="s">
        <v>1043</v>
      </c>
    </row>
    <row r="110" spans="1:11" ht="15">
      <c r="A110" s="30">
        <v>107</v>
      </c>
      <c r="B110" s="30" t="s">
        <v>1047</v>
      </c>
      <c r="C110" s="30">
        <v>107</v>
      </c>
      <c r="D110" s="34">
        <v>7</v>
      </c>
      <c r="E110" s="31" t="s">
        <v>1048</v>
      </c>
      <c r="F110" s="31" t="s">
        <v>2245</v>
      </c>
      <c r="G110" s="34" t="s">
        <v>2246</v>
      </c>
      <c r="H110" s="37" t="s">
        <v>43</v>
      </c>
      <c r="I110" s="6" t="s">
        <v>1051</v>
      </c>
      <c r="J110" s="6" t="s">
        <v>1052</v>
      </c>
      <c r="K110" s="6" t="s">
        <v>1053</v>
      </c>
    </row>
    <row r="111" spans="1:11" ht="15">
      <c r="A111" s="30">
        <v>108</v>
      </c>
      <c r="B111" s="30" t="s">
        <v>1056</v>
      </c>
      <c r="C111" s="30">
        <v>108</v>
      </c>
      <c r="D111" s="34">
        <v>7</v>
      </c>
      <c r="E111" s="31" t="s">
        <v>1057</v>
      </c>
      <c r="F111" s="31" t="s">
        <v>2247</v>
      </c>
      <c r="G111" s="34" t="s">
        <v>2248</v>
      </c>
      <c r="H111" s="37" t="s">
        <v>43</v>
      </c>
      <c r="I111" s="6" t="s">
        <v>1060</v>
      </c>
      <c r="J111" s="6" t="s">
        <v>1061</v>
      </c>
      <c r="K111" s="6" t="s">
        <v>1062</v>
      </c>
    </row>
    <row r="112" spans="1:11" ht="15">
      <c r="A112" s="30">
        <v>109</v>
      </c>
      <c r="B112" s="30" t="s">
        <v>1065</v>
      </c>
      <c r="C112" s="30">
        <v>109</v>
      </c>
      <c r="D112" s="34">
        <v>12</v>
      </c>
      <c r="E112" s="31" t="s">
        <v>1066</v>
      </c>
      <c r="F112" s="31" t="s">
        <v>2249</v>
      </c>
      <c r="G112" s="34" t="s">
        <v>2250</v>
      </c>
      <c r="H112" s="37" t="s">
        <v>62</v>
      </c>
      <c r="I112" s="6" t="s">
        <v>1069</v>
      </c>
      <c r="J112" s="6" t="s">
        <v>1070</v>
      </c>
      <c r="K112" s="6" t="s">
        <v>1071</v>
      </c>
    </row>
    <row r="113" spans="1:11" ht="15">
      <c r="A113" s="30">
        <v>110</v>
      </c>
      <c r="B113" s="30" t="s">
        <v>1075</v>
      </c>
      <c r="C113" s="30">
        <v>110</v>
      </c>
      <c r="D113" s="34">
        <v>12</v>
      </c>
      <c r="E113" s="31" t="s">
        <v>1076</v>
      </c>
      <c r="F113" s="31" t="s">
        <v>2251</v>
      </c>
      <c r="G113" s="34" t="s">
        <v>2252</v>
      </c>
      <c r="H113" s="37" t="s">
        <v>62</v>
      </c>
      <c r="I113" s="6" t="s">
        <v>1079</v>
      </c>
      <c r="J113" s="6" t="s">
        <v>1080</v>
      </c>
      <c r="K113" s="6" t="s">
        <v>1081</v>
      </c>
    </row>
    <row r="114" spans="1:11" ht="15">
      <c r="A114" s="30">
        <v>111</v>
      </c>
      <c r="B114" s="30" t="s">
        <v>1085</v>
      </c>
      <c r="C114" s="30">
        <v>111</v>
      </c>
      <c r="D114" s="34">
        <v>3</v>
      </c>
      <c r="E114" s="31" t="s">
        <v>1086</v>
      </c>
      <c r="F114" s="31" t="s">
        <v>2253</v>
      </c>
      <c r="G114" s="34" t="s">
        <v>2252</v>
      </c>
      <c r="H114" s="37" t="s">
        <v>397</v>
      </c>
      <c r="I114" s="6" t="s">
        <v>1089</v>
      </c>
      <c r="J114" s="6" t="s">
        <v>1090</v>
      </c>
      <c r="K114" s="6" t="s">
        <v>1091</v>
      </c>
    </row>
    <row r="115" spans="1:11" ht="15">
      <c r="A115" s="30">
        <v>112</v>
      </c>
      <c r="B115" s="30" t="s">
        <v>1093</v>
      </c>
      <c r="C115" s="30">
        <v>112</v>
      </c>
      <c r="D115" s="34">
        <v>3</v>
      </c>
      <c r="E115" s="31" t="s">
        <v>1094</v>
      </c>
      <c r="F115" s="31" t="s">
        <v>2254</v>
      </c>
      <c r="G115" s="34" t="s">
        <v>2255</v>
      </c>
      <c r="H115" s="37" t="s">
        <v>397</v>
      </c>
      <c r="I115" s="6" t="s">
        <v>1097</v>
      </c>
      <c r="J115" s="6" t="s">
        <v>1098</v>
      </c>
      <c r="K115" s="6" t="s">
        <v>1099</v>
      </c>
    </row>
    <row r="116" spans="1:11" ht="15">
      <c r="A116" s="30">
        <v>113</v>
      </c>
      <c r="B116" s="30" t="s">
        <v>1102</v>
      </c>
      <c r="C116" s="30">
        <v>113</v>
      </c>
      <c r="D116" s="34">
        <v>8</v>
      </c>
      <c r="E116" s="31" t="s">
        <v>1103</v>
      </c>
      <c r="F116" s="31" t="s">
        <v>2256</v>
      </c>
      <c r="G116" s="34" t="s">
        <v>2257</v>
      </c>
      <c r="H116" s="37" t="s">
        <v>269</v>
      </c>
      <c r="I116" s="6" t="s">
        <v>1106</v>
      </c>
      <c r="J116" s="6" t="s">
        <v>1107</v>
      </c>
      <c r="K116" s="6" t="s">
        <v>1108</v>
      </c>
    </row>
    <row r="117" spans="1:11" ht="15">
      <c r="A117" s="30">
        <v>114</v>
      </c>
      <c r="B117" s="30" t="s">
        <v>1111</v>
      </c>
      <c r="C117" s="30">
        <v>114</v>
      </c>
      <c r="D117" s="34">
        <v>6</v>
      </c>
      <c r="E117" s="31" t="s">
        <v>1112</v>
      </c>
      <c r="F117" s="31" t="s">
        <v>2258</v>
      </c>
      <c r="G117" s="34" t="s">
        <v>2257</v>
      </c>
      <c r="H117" s="37" t="s">
        <v>53</v>
      </c>
      <c r="I117" s="6" t="s">
        <v>1115</v>
      </c>
      <c r="J117" s="6" t="s">
        <v>1116</v>
      </c>
      <c r="K117" s="6" t="s">
        <v>1117</v>
      </c>
    </row>
    <row r="118" spans="1:11" ht="15">
      <c r="A118" s="30">
        <v>115</v>
      </c>
      <c r="B118" s="30" t="s">
        <v>1123</v>
      </c>
      <c r="C118" s="30">
        <v>115</v>
      </c>
      <c r="D118" s="34">
        <v>7</v>
      </c>
      <c r="E118" s="31" t="s">
        <v>1124</v>
      </c>
      <c r="F118" s="31" t="s">
        <v>2259</v>
      </c>
      <c r="G118" s="34" t="s">
        <v>2260</v>
      </c>
      <c r="H118" s="37" t="s">
        <v>43</v>
      </c>
      <c r="I118" s="6" t="s">
        <v>1127</v>
      </c>
      <c r="J118" s="6" t="s">
        <v>1128</v>
      </c>
      <c r="K118" s="6" t="s">
        <v>1129</v>
      </c>
    </row>
    <row r="119" spans="1:11" ht="30">
      <c r="A119" s="30">
        <v>116</v>
      </c>
      <c r="B119" s="30" t="s">
        <v>1134</v>
      </c>
      <c r="C119" s="30">
        <v>116</v>
      </c>
      <c r="D119" s="34">
        <v>4</v>
      </c>
      <c r="E119" s="31" t="s">
        <v>1135</v>
      </c>
      <c r="F119" s="31" t="s">
        <v>2261</v>
      </c>
      <c r="G119" s="34" t="s">
        <v>2260</v>
      </c>
      <c r="H119" s="37" t="s">
        <v>305</v>
      </c>
      <c r="I119" s="6" t="s">
        <v>1138</v>
      </c>
      <c r="J119" s="6" t="s">
        <v>1139</v>
      </c>
      <c r="K119" s="6" t="s">
        <v>1140</v>
      </c>
    </row>
    <row r="120" spans="1:11" ht="15">
      <c r="A120" s="30">
        <v>117</v>
      </c>
      <c r="B120" s="30" t="s">
        <v>1143</v>
      </c>
      <c r="C120" s="30">
        <v>117</v>
      </c>
      <c r="D120" s="34">
        <v>7</v>
      </c>
      <c r="E120" s="31" t="s">
        <v>1144</v>
      </c>
      <c r="F120" s="31" t="s">
        <v>2262</v>
      </c>
      <c r="G120" s="34" t="s">
        <v>2260</v>
      </c>
      <c r="H120" s="37" t="s">
        <v>43</v>
      </c>
      <c r="I120" s="6" t="s">
        <v>1147</v>
      </c>
      <c r="J120" s="6" t="s">
        <v>1148</v>
      </c>
      <c r="K120" s="6" t="s">
        <v>1149</v>
      </c>
    </row>
    <row r="121" spans="1:11" ht="15">
      <c r="A121" s="30">
        <v>118</v>
      </c>
      <c r="B121" s="30" t="s">
        <v>1152</v>
      </c>
      <c r="C121" s="30">
        <v>118</v>
      </c>
      <c r="D121" s="34">
        <v>4</v>
      </c>
      <c r="E121" s="31" t="s">
        <v>1153</v>
      </c>
      <c r="F121" s="31" t="s">
        <v>2263</v>
      </c>
      <c r="G121" s="34" t="s">
        <v>2260</v>
      </c>
      <c r="H121" s="37" t="s">
        <v>305</v>
      </c>
      <c r="I121" s="6" t="s">
        <v>1156</v>
      </c>
      <c r="J121" s="6" t="s">
        <v>1157</v>
      </c>
      <c r="K121" s="6" t="s">
        <v>1158</v>
      </c>
    </row>
    <row r="122" spans="1:11" ht="15">
      <c r="A122" s="30">
        <v>119</v>
      </c>
      <c r="B122" s="30" t="s">
        <v>1161</v>
      </c>
      <c r="C122" s="30">
        <v>119</v>
      </c>
      <c r="D122" s="34">
        <v>12</v>
      </c>
      <c r="E122" s="31" t="s">
        <v>1162</v>
      </c>
      <c r="F122" s="31" t="s">
        <v>2264</v>
      </c>
      <c r="G122" s="34" t="s">
        <v>2265</v>
      </c>
      <c r="H122" s="37" t="s">
        <v>62</v>
      </c>
      <c r="I122" s="6"/>
      <c r="J122" s="6"/>
      <c r="K122" s="6"/>
    </row>
    <row r="123" spans="1:11" ht="30">
      <c r="A123" s="30">
        <v>120</v>
      </c>
      <c r="B123" s="30" t="s">
        <v>1167</v>
      </c>
      <c r="C123" s="30">
        <v>120</v>
      </c>
      <c r="D123" s="34">
        <v>7</v>
      </c>
      <c r="E123" s="31" t="s">
        <v>1168</v>
      </c>
      <c r="F123" s="31" t="s">
        <v>2266</v>
      </c>
      <c r="G123" s="34" t="s">
        <v>2267</v>
      </c>
      <c r="H123" s="37" t="s">
        <v>43</v>
      </c>
      <c r="I123" s="6" t="s">
        <v>1171</v>
      </c>
      <c r="J123" s="6" t="s">
        <v>1172</v>
      </c>
      <c r="K123" s="6" t="s">
        <v>1173</v>
      </c>
    </row>
    <row r="124" spans="1:11" ht="15">
      <c r="A124" s="30">
        <v>121</v>
      </c>
      <c r="B124" s="30" t="s">
        <v>1177</v>
      </c>
      <c r="C124" s="30">
        <v>121</v>
      </c>
      <c r="D124" s="34">
        <v>7</v>
      </c>
      <c r="E124" s="31" t="s">
        <v>1178</v>
      </c>
      <c r="F124" s="31" t="s">
        <v>2268</v>
      </c>
      <c r="G124" s="34" t="s">
        <v>2267</v>
      </c>
      <c r="H124" s="37" t="s">
        <v>43</v>
      </c>
      <c r="I124" s="6" t="s">
        <v>1181</v>
      </c>
      <c r="J124" s="6" t="s">
        <v>1182</v>
      </c>
      <c r="K124" s="6" t="s">
        <v>1183</v>
      </c>
    </row>
    <row r="125" spans="1:11" ht="15">
      <c r="A125" s="30">
        <v>122</v>
      </c>
      <c r="B125" s="30" t="s">
        <v>1187</v>
      </c>
      <c r="C125" s="30">
        <v>122</v>
      </c>
      <c r="D125" s="34">
        <v>11</v>
      </c>
      <c r="E125" s="31" t="s">
        <v>1188</v>
      </c>
      <c r="F125" s="31" t="s">
        <v>2269</v>
      </c>
      <c r="G125" s="34" t="s">
        <v>2270</v>
      </c>
      <c r="H125" s="37" t="s">
        <v>20</v>
      </c>
      <c r="I125" s="6" t="s">
        <v>1191</v>
      </c>
      <c r="J125" s="6" t="s">
        <v>1192</v>
      </c>
      <c r="K125" s="6" t="s">
        <v>1193</v>
      </c>
    </row>
    <row r="126" spans="1:11" ht="15">
      <c r="A126" s="30">
        <v>123</v>
      </c>
      <c r="B126" s="30" t="s">
        <v>1196</v>
      </c>
      <c r="C126" s="30">
        <v>123</v>
      </c>
      <c r="D126" s="34">
        <v>10</v>
      </c>
      <c r="E126" s="31" t="s">
        <v>1197</v>
      </c>
      <c r="F126" s="31" t="s">
        <v>2271</v>
      </c>
      <c r="G126" s="34" t="s">
        <v>2272</v>
      </c>
      <c r="H126" s="37" t="s">
        <v>550</v>
      </c>
      <c r="I126" s="6" t="s">
        <v>1200</v>
      </c>
      <c r="J126" s="6" t="s">
        <v>1201</v>
      </c>
      <c r="K126" s="6" t="s">
        <v>1202</v>
      </c>
    </row>
    <row r="127" spans="1:11" ht="15">
      <c r="A127" s="30">
        <v>124</v>
      </c>
      <c r="B127" s="30" t="s">
        <v>1204</v>
      </c>
      <c r="C127" s="30">
        <v>124</v>
      </c>
      <c r="D127" s="34">
        <v>9</v>
      </c>
      <c r="E127" s="31" t="s">
        <v>936</v>
      </c>
      <c r="F127" s="31" t="s">
        <v>2273</v>
      </c>
      <c r="G127" s="34" t="s">
        <v>2274</v>
      </c>
      <c r="H127" s="37" t="s">
        <v>314</v>
      </c>
      <c r="I127" s="6" t="s">
        <v>1207</v>
      </c>
      <c r="J127" s="6" t="s">
        <v>1208</v>
      </c>
      <c r="K127" s="6" t="s">
        <v>1209</v>
      </c>
    </row>
    <row r="128" spans="1:11" ht="15">
      <c r="A128" s="30">
        <v>125</v>
      </c>
      <c r="B128" s="30" t="s">
        <v>1211</v>
      </c>
      <c r="C128" s="30">
        <v>125</v>
      </c>
      <c r="D128" s="34">
        <v>6</v>
      </c>
      <c r="E128" s="31" t="s">
        <v>1212</v>
      </c>
      <c r="F128" s="31" t="s">
        <v>2275</v>
      </c>
      <c r="G128" s="34" t="s">
        <v>2094</v>
      </c>
      <c r="H128" s="37" t="s">
        <v>53</v>
      </c>
      <c r="I128" s="6" t="s">
        <v>1215</v>
      </c>
      <c r="J128" s="6" t="s">
        <v>1216</v>
      </c>
      <c r="K128" s="6" t="s">
        <v>1217</v>
      </c>
    </row>
    <row r="129" spans="1:11" ht="30">
      <c r="A129" s="30">
        <v>126</v>
      </c>
      <c r="B129" s="30" t="s">
        <v>1218</v>
      </c>
      <c r="C129" s="30">
        <v>126</v>
      </c>
      <c r="D129" s="34">
        <v>8</v>
      </c>
      <c r="E129" s="31" t="s">
        <v>1219</v>
      </c>
      <c r="F129" s="31" t="s">
        <v>2276</v>
      </c>
      <c r="G129" s="34" t="s">
        <v>2277</v>
      </c>
      <c r="H129" s="37" t="s">
        <v>269</v>
      </c>
      <c r="I129" s="6" t="s">
        <v>1222</v>
      </c>
      <c r="J129" s="6" t="s">
        <v>1223</v>
      </c>
      <c r="K129" s="6" t="s">
        <v>1224</v>
      </c>
    </row>
    <row r="130" spans="1:11" ht="15">
      <c r="A130" s="30">
        <v>127</v>
      </c>
      <c r="B130" s="30" t="s">
        <v>1227</v>
      </c>
      <c r="C130" s="30">
        <v>127</v>
      </c>
      <c r="D130" s="34">
        <v>11</v>
      </c>
      <c r="E130" s="31" t="s">
        <v>1228</v>
      </c>
      <c r="F130" s="31" t="s">
        <v>2278</v>
      </c>
      <c r="G130" s="34" t="s">
        <v>2279</v>
      </c>
      <c r="H130" s="37" t="s">
        <v>20</v>
      </c>
      <c r="I130" s="6" t="s">
        <v>1231</v>
      </c>
      <c r="J130" s="6" t="s">
        <v>1232</v>
      </c>
      <c r="K130" s="6" t="s">
        <v>1233</v>
      </c>
    </row>
    <row r="131" spans="1:11" ht="15">
      <c r="A131" s="30">
        <v>128</v>
      </c>
      <c r="B131" s="30" t="s">
        <v>1236</v>
      </c>
      <c r="C131" s="30">
        <v>128</v>
      </c>
      <c r="D131" s="34">
        <v>10</v>
      </c>
      <c r="E131" s="31" t="s">
        <v>1237</v>
      </c>
      <c r="F131" s="31" t="s">
        <v>2280</v>
      </c>
      <c r="G131" s="34" t="s">
        <v>2281</v>
      </c>
      <c r="H131" s="37" t="s">
        <v>550</v>
      </c>
      <c r="I131" s="6" t="s">
        <v>1240</v>
      </c>
      <c r="J131" s="6" t="s">
        <v>1241</v>
      </c>
      <c r="K131" s="6" t="s">
        <v>1242</v>
      </c>
    </row>
    <row r="132" spans="1:11" ht="30">
      <c r="A132" s="30">
        <v>129</v>
      </c>
      <c r="B132" s="30" t="s">
        <v>1245</v>
      </c>
      <c r="C132" s="30">
        <v>129</v>
      </c>
      <c r="D132" s="34">
        <v>4</v>
      </c>
      <c r="E132" s="31" t="s">
        <v>1246</v>
      </c>
      <c r="F132" s="31" t="s">
        <v>2282</v>
      </c>
      <c r="G132" s="34" t="s">
        <v>2283</v>
      </c>
      <c r="H132" s="37" t="s">
        <v>305</v>
      </c>
      <c r="I132" s="6" t="s">
        <v>1249</v>
      </c>
      <c r="J132" s="6" t="s">
        <v>1250</v>
      </c>
      <c r="K132" s="6" t="s">
        <v>1251</v>
      </c>
    </row>
    <row r="133" spans="1:11" ht="15">
      <c r="A133" s="30">
        <v>130</v>
      </c>
      <c r="B133" s="30" t="s">
        <v>1253</v>
      </c>
      <c r="C133" s="30">
        <v>130</v>
      </c>
      <c r="D133" s="34">
        <v>12</v>
      </c>
      <c r="E133" s="31" t="s">
        <v>1254</v>
      </c>
      <c r="F133" s="31" t="s">
        <v>2284</v>
      </c>
      <c r="G133" s="34" t="s">
        <v>2285</v>
      </c>
      <c r="H133" s="37" t="s">
        <v>62</v>
      </c>
      <c r="I133" s="6" t="s">
        <v>1257</v>
      </c>
      <c r="J133" s="6" t="s">
        <v>1258</v>
      </c>
      <c r="K133" s="6" t="s">
        <v>1259</v>
      </c>
    </row>
    <row r="134" spans="1:11" ht="15">
      <c r="A134" s="30">
        <v>131</v>
      </c>
      <c r="B134" s="30" t="s">
        <v>1262</v>
      </c>
      <c r="C134" s="30">
        <v>131</v>
      </c>
      <c r="D134" s="34">
        <v>12</v>
      </c>
      <c r="E134" s="31" t="s">
        <v>1263</v>
      </c>
      <c r="F134" s="31" t="s">
        <v>2286</v>
      </c>
      <c r="G134" s="34" t="s">
        <v>2283</v>
      </c>
      <c r="H134" s="37" t="s">
        <v>62</v>
      </c>
      <c r="I134" s="6" t="s">
        <v>1257</v>
      </c>
      <c r="J134" s="6" t="s">
        <v>1258</v>
      </c>
      <c r="K134" s="6" t="s">
        <v>1259</v>
      </c>
    </row>
    <row r="135" spans="1:11" ht="15">
      <c r="A135" s="30">
        <v>132</v>
      </c>
      <c r="B135" s="30" t="s">
        <v>1268</v>
      </c>
      <c r="C135" s="30">
        <v>132</v>
      </c>
      <c r="D135" s="34">
        <v>6</v>
      </c>
      <c r="E135" s="31" t="s">
        <v>1269</v>
      </c>
      <c r="F135" s="31" t="s">
        <v>2287</v>
      </c>
      <c r="G135" s="34" t="s">
        <v>2288</v>
      </c>
      <c r="H135" s="37" t="s">
        <v>53</v>
      </c>
      <c r="I135" s="6" t="s">
        <v>1272</v>
      </c>
      <c r="J135" s="6" t="s">
        <v>1273</v>
      </c>
      <c r="K135" s="6" t="s">
        <v>1274</v>
      </c>
    </row>
    <row r="136" spans="1:11" ht="15">
      <c r="A136" s="30">
        <v>133</v>
      </c>
      <c r="B136" s="30" t="s">
        <v>1277</v>
      </c>
      <c r="C136" s="30">
        <v>133</v>
      </c>
      <c r="D136" s="34">
        <v>6</v>
      </c>
      <c r="E136" s="31" t="s">
        <v>1278</v>
      </c>
      <c r="F136" s="31" t="s">
        <v>2289</v>
      </c>
      <c r="G136" s="34" t="s">
        <v>2288</v>
      </c>
      <c r="H136" s="37" t="s">
        <v>53</v>
      </c>
      <c r="I136" s="6" t="s">
        <v>1281</v>
      </c>
      <c r="J136" s="6" t="s">
        <v>1282</v>
      </c>
      <c r="K136" s="6" t="s">
        <v>1283</v>
      </c>
    </row>
    <row r="137" spans="1:11" ht="15">
      <c r="A137" s="30">
        <v>134</v>
      </c>
      <c r="B137" s="30" t="s">
        <v>1287</v>
      </c>
      <c r="C137" s="30">
        <v>134</v>
      </c>
      <c r="D137" s="34">
        <v>9</v>
      </c>
      <c r="E137" s="31" t="s">
        <v>1288</v>
      </c>
      <c r="F137" s="31" t="s">
        <v>2290</v>
      </c>
      <c r="G137" s="34" t="s">
        <v>2291</v>
      </c>
      <c r="H137" s="37" t="s">
        <v>314</v>
      </c>
      <c r="I137" s="6" t="s">
        <v>1291</v>
      </c>
      <c r="J137" s="6" t="s">
        <v>1292</v>
      </c>
      <c r="K137" s="6" t="s">
        <v>1293</v>
      </c>
    </row>
    <row r="138" spans="1:11" ht="30">
      <c r="A138" s="30">
        <v>135</v>
      </c>
      <c r="B138" s="30" t="s">
        <v>1296</v>
      </c>
      <c r="C138" s="30">
        <v>135</v>
      </c>
      <c r="D138" s="34">
        <v>7</v>
      </c>
      <c r="E138" s="31" t="s">
        <v>1297</v>
      </c>
      <c r="F138" s="31" t="s">
        <v>2292</v>
      </c>
      <c r="G138" s="34" t="s">
        <v>2291</v>
      </c>
      <c r="H138" s="37" t="s">
        <v>43</v>
      </c>
      <c r="I138" s="6" t="s">
        <v>1300</v>
      </c>
      <c r="J138" s="6" t="s">
        <v>1301</v>
      </c>
      <c r="K138" s="6" t="s">
        <v>1302</v>
      </c>
    </row>
    <row r="139" spans="1:11" ht="15">
      <c r="A139" s="30">
        <v>136</v>
      </c>
      <c r="B139" s="30" t="s">
        <v>1305</v>
      </c>
      <c r="C139" s="30">
        <v>136</v>
      </c>
      <c r="D139" s="34">
        <v>6</v>
      </c>
      <c r="E139" s="31" t="s">
        <v>1306</v>
      </c>
      <c r="F139" s="31" t="s">
        <v>2293</v>
      </c>
      <c r="G139" s="34" t="s">
        <v>2291</v>
      </c>
      <c r="H139" s="37" t="s">
        <v>53</v>
      </c>
      <c r="I139" s="6" t="s">
        <v>152</v>
      </c>
      <c r="J139" s="6" t="s">
        <v>153</v>
      </c>
      <c r="K139" s="6" t="s">
        <v>1309</v>
      </c>
    </row>
    <row r="140" spans="1:11" ht="30">
      <c r="A140" s="30">
        <v>137</v>
      </c>
      <c r="B140" s="30" t="s">
        <v>1314</v>
      </c>
      <c r="C140" s="30">
        <v>137</v>
      </c>
      <c r="D140" s="34">
        <v>6</v>
      </c>
      <c r="E140" s="31" t="s">
        <v>1315</v>
      </c>
      <c r="F140" s="31" t="s">
        <v>2294</v>
      </c>
      <c r="G140" s="34" t="s">
        <v>2291</v>
      </c>
      <c r="H140" s="37" t="s">
        <v>53</v>
      </c>
      <c r="I140" s="6" t="s">
        <v>1318</v>
      </c>
      <c r="J140" s="6" t="s">
        <v>1319</v>
      </c>
      <c r="K140" s="6" t="s">
        <v>1320</v>
      </c>
    </row>
    <row r="141" spans="1:11" ht="30">
      <c r="A141" s="30">
        <v>138</v>
      </c>
      <c r="B141" s="30" t="s">
        <v>1324</v>
      </c>
      <c r="C141" s="30">
        <v>138</v>
      </c>
      <c r="D141" s="34">
        <v>6</v>
      </c>
      <c r="E141" s="31" t="s">
        <v>1325</v>
      </c>
      <c r="F141" s="31" t="s">
        <v>2295</v>
      </c>
      <c r="G141" s="34" t="s">
        <v>2291</v>
      </c>
      <c r="H141" s="37" t="s">
        <v>53</v>
      </c>
      <c r="I141" s="10" t="s">
        <v>1328</v>
      </c>
      <c r="J141" s="10" t="s">
        <v>1329</v>
      </c>
      <c r="K141" s="15" t="s">
        <v>1330</v>
      </c>
    </row>
    <row r="142" spans="1:11" ht="15">
      <c r="A142" s="30">
        <v>139</v>
      </c>
      <c r="B142" s="30" t="s">
        <v>1334</v>
      </c>
      <c r="C142" s="30">
        <v>139</v>
      </c>
      <c r="D142" s="34">
        <v>12</v>
      </c>
      <c r="E142" s="31" t="s">
        <v>1335</v>
      </c>
      <c r="F142" s="31" t="s">
        <v>2296</v>
      </c>
      <c r="G142" s="34" t="s">
        <v>2297</v>
      </c>
      <c r="H142" s="37" t="s">
        <v>62</v>
      </c>
      <c r="I142" s="6" t="s">
        <v>1338</v>
      </c>
      <c r="J142" s="6" t="s">
        <v>1339</v>
      </c>
      <c r="K142" s="6" t="s">
        <v>1340</v>
      </c>
    </row>
    <row r="143" spans="1:11" ht="30">
      <c r="A143" s="30">
        <v>140</v>
      </c>
      <c r="B143" s="30" t="s">
        <v>1343</v>
      </c>
      <c r="C143" s="30">
        <v>140</v>
      </c>
      <c r="D143" s="34">
        <v>8</v>
      </c>
      <c r="E143" s="31" t="s">
        <v>1344</v>
      </c>
      <c r="F143" s="31" t="s">
        <v>2298</v>
      </c>
      <c r="G143" s="34" t="s">
        <v>2094</v>
      </c>
      <c r="H143" s="37" t="s">
        <v>269</v>
      </c>
      <c r="I143" s="6" t="s">
        <v>1347</v>
      </c>
      <c r="J143" s="6" t="s">
        <v>1348</v>
      </c>
      <c r="K143" s="11" t="s">
        <v>1349</v>
      </c>
    </row>
    <row r="144" spans="1:11" ht="15">
      <c r="A144" s="30">
        <v>141</v>
      </c>
      <c r="B144" s="30" t="s">
        <v>1352</v>
      </c>
      <c r="C144" s="30">
        <v>141</v>
      </c>
      <c r="D144" s="34">
        <v>6</v>
      </c>
      <c r="E144" s="31" t="s">
        <v>1353</v>
      </c>
      <c r="F144" s="31" t="s">
        <v>2299</v>
      </c>
      <c r="G144" s="34" t="s">
        <v>2103</v>
      </c>
      <c r="H144" s="37" t="s">
        <v>53</v>
      </c>
      <c r="I144" s="6" t="s">
        <v>1356</v>
      </c>
      <c r="J144" s="6" t="s">
        <v>1357</v>
      </c>
      <c r="K144" s="6" t="s">
        <v>1358</v>
      </c>
    </row>
    <row r="145" spans="1:11" ht="15">
      <c r="A145" s="30">
        <v>142</v>
      </c>
      <c r="B145" s="30" t="s">
        <v>1364</v>
      </c>
      <c r="C145" s="30">
        <v>142</v>
      </c>
      <c r="D145" s="34">
        <v>6</v>
      </c>
      <c r="E145" s="31" t="s">
        <v>1365</v>
      </c>
      <c r="F145" s="31" t="s">
        <v>2300</v>
      </c>
      <c r="G145" s="34" t="s">
        <v>2301</v>
      </c>
      <c r="H145" s="37" t="s">
        <v>53</v>
      </c>
      <c r="I145" s="6" t="s">
        <v>1368</v>
      </c>
      <c r="J145" s="6" t="s">
        <v>1369</v>
      </c>
      <c r="K145" s="6" t="s">
        <v>1370</v>
      </c>
    </row>
    <row r="146" spans="1:11" ht="30">
      <c r="A146" s="30">
        <v>143</v>
      </c>
      <c r="B146" s="30" t="s">
        <v>1373</v>
      </c>
      <c r="C146" s="30">
        <v>143</v>
      </c>
      <c r="D146" s="34">
        <v>8</v>
      </c>
      <c r="E146" s="31" t="s">
        <v>1374</v>
      </c>
      <c r="F146" s="31" t="s">
        <v>2302</v>
      </c>
      <c r="G146" s="34" t="s">
        <v>2094</v>
      </c>
      <c r="H146" s="37" t="s">
        <v>269</v>
      </c>
      <c r="I146" s="6" t="s">
        <v>1377</v>
      </c>
      <c r="J146" s="6" t="s">
        <v>1378</v>
      </c>
      <c r="K146" s="11" t="s">
        <v>1379</v>
      </c>
    </row>
    <row r="147" spans="1:11" ht="30">
      <c r="A147" s="30">
        <v>144</v>
      </c>
      <c r="B147" s="30" t="s">
        <v>1382</v>
      </c>
      <c r="C147" s="30">
        <v>144</v>
      </c>
      <c r="D147" s="34">
        <v>8</v>
      </c>
      <c r="E147" s="31" t="s">
        <v>1383</v>
      </c>
      <c r="F147" s="31" t="s">
        <v>2303</v>
      </c>
      <c r="G147" s="34" t="s">
        <v>2094</v>
      </c>
      <c r="H147" s="37" t="s">
        <v>269</v>
      </c>
      <c r="I147" s="6" t="s">
        <v>1386</v>
      </c>
      <c r="J147" s="6" t="s">
        <v>1387</v>
      </c>
      <c r="K147" s="6" t="s">
        <v>1388</v>
      </c>
    </row>
    <row r="148" spans="1:11" ht="15">
      <c r="A148" s="30">
        <v>145</v>
      </c>
      <c r="B148" s="30" t="s">
        <v>1391</v>
      </c>
      <c r="C148" s="30">
        <v>145</v>
      </c>
      <c r="D148" s="34">
        <v>6</v>
      </c>
      <c r="E148" s="31" t="s">
        <v>1392</v>
      </c>
      <c r="F148" s="31" t="s">
        <v>2304</v>
      </c>
      <c r="G148" s="34" t="s">
        <v>2305</v>
      </c>
      <c r="H148" s="37" t="s">
        <v>53</v>
      </c>
      <c r="I148" s="6" t="s">
        <v>1395</v>
      </c>
      <c r="J148" s="6" t="s">
        <v>1396</v>
      </c>
      <c r="K148" s="6" t="s">
        <v>1397</v>
      </c>
    </row>
    <row r="149" spans="1:11" ht="15">
      <c r="A149" s="30">
        <v>146</v>
      </c>
      <c r="B149" s="30" t="s">
        <v>1401</v>
      </c>
      <c r="C149" s="30">
        <v>146</v>
      </c>
      <c r="D149" s="34">
        <v>7</v>
      </c>
      <c r="E149" s="31" t="s">
        <v>1402</v>
      </c>
      <c r="F149" s="31" t="s">
        <v>2306</v>
      </c>
      <c r="G149" s="34" t="s">
        <v>2094</v>
      </c>
      <c r="H149" s="37" t="s">
        <v>43</v>
      </c>
      <c r="I149" s="6" t="s">
        <v>1405</v>
      </c>
      <c r="J149" s="6" t="s">
        <v>1406</v>
      </c>
      <c r="K149" s="6" t="s">
        <v>1407</v>
      </c>
    </row>
    <row r="150" spans="1:11" ht="15">
      <c r="A150" s="30">
        <v>147</v>
      </c>
      <c r="B150" s="30" t="s">
        <v>1410</v>
      </c>
      <c r="C150" s="30">
        <v>147</v>
      </c>
      <c r="D150" s="34">
        <v>6</v>
      </c>
      <c r="E150" s="31" t="s">
        <v>1411</v>
      </c>
      <c r="F150" s="31" t="s">
        <v>2307</v>
      </c>
      <c r="G150" s="34" t="s">
        <v>2308</v>
      </c>
      <c r="H150" s="37" t="s">
        <v>53</v>
      </c>
      <c r="I150" s="6" t="s">
        <v>1414</v>
      </c>
      <c r="J150" s="6" t="s">
        <v>1415</v>
      </c>
      <c r="K150" s="16" t="s">
        <v>1416</v>
      </c>
    </row>
    <row r="151" spans="1:11" ht="15">
      <c r="A151" s="30">
        <v>148</v>
      </c>
      <c r="B151" s="30" t="s">
        <v>1417</v>
      </c>
      <c r="C151" s="30">
        <v>148</v>
      </c>
      <c r="D151" s="34">
        <v>6</v>
      </c>
      <c r="E151" s="31" t="s">
        <v>1418</v>
      </c>
      <c r="F151" s="31" t="s">
        <v>2309</v>
      </c>
      <c r="G151" s="34" t="s">
        <v>2310</v>
      </c>
      <c r="H151" s="37" t="s">
        <v>53</v>
      </c>
      <c r="I151" s="6" t="s">
        <v>1421</v>
      </c>
      <c r="J151" s="6" t="s">
        <v>1422</v>
      </c>
      <c r="K151" s="6" t="s">
        <v>1423</v>
      </c>
    </row>
    <row r="152" spans="1:11" ht="30">
      <c r="A152" s="30">
        <v>149</v>
      </c>
      <c r="B152" s="30" t="s">
        <v>1425</v>
      </c>
      <c r="C152" s="30">
        <v>149</v>
      </c>
      <c r="D152" s="34">
        <v>8</v>
      </c>
      <c r="E152" s="31" t="s">
        <v>1426</v>
      </c>
      <c r="F152" s="31" t="s">
        <v>2311</v>
      </c>
      <c r="G152" s="34" t="s">
        <v>2094</v>
      </c>
      <c r="H152" s="37" t="s">
        <v>269</v>
      </c>
      <c r="I152" s="6" t="s">
        <v>1429</v>
      </c>
      <c r="J152" s="6" t="s">
        <v>1430</v>
      </c>
      <c r="K152" s="6" t="s">
        <v>1431</v>
      </c>
    </row>
    <row r="153" spans="1:11" ht="30">
      <c r="A153" s="30">
        <v>150</v>
      </c>
      <c r="B153" s="30" t="s">
        <v>1433</v>
      </c>
      <c r="C153" s="30">
        <v>150</v>
      </c>
      <c r="D153" s="34">
        <v>6</v>
      </c>
      <c r="E153" s="31" t="s">
        <v>1434</v>
      </c>
      <c r="F153" s="31" t="s">
        <v>2312</v>
      </c>
      <c r="G153" s="34" t="s">
        <v>2074</v>
      </c>
      <c r="H153" s="37" t="s">
        <v>53</v>
      </c>
      <c r="I153" s="6" t="s">
        <v>1437</v>
      </c>
      <c r="J153" s="6" t="s">
        <v>1438</v>
      </c>
      <c r="K153" s="6" t="s">
        <v>1439</v>
      </c>
    </row>
    <row r="154" spans="1:11" ht="15">
      <c r="A154" s="30">
        <v>151</v>
      </c>
      <c r="B154" s="30" t="s">
        <v>1445</v>
      </c>
      <c r="C154" s="30">
        <v>151</v>
      </c>
      <c r="D154" s="34">
        <v>6</v>
      </c>
      <c r="E154" s="31" t="s">
        <v>1446</v>
      </c>
      <c r="F154" s="31" t="s">
        <v>2313</v>
      </c>
      <c r="G154" s="34" t="s">
        <v>2094</v>
      </c>
      <c r="H154" s="37" t="s">
        <v>53</v>
      </c>
      <c r="I154" s="6" t="s">
        <v>1449</v>
      </c>
      <c r="J154" s="6" t="s">
        <v>1450</v>
      </c>
      <c r="K154" s="6" t="s">
        <v>1451</v>
      </c>
    </row>
    <row r="155" spans="1:11" ht="15">
      <c r="A155" s="30">
        <v>152</v>
      </c>
      <c r="B155" s="30" t="s">
        <v>1454</v>
      </c>
      <c r="C155" s="30">
        <v>152</v>
      </c>
      <c r="D155" s="34">
        <v>6</v>
      </c>
      <c r="E155" s="31" t="s">
        <v>1455</v>
      </c>
      <c r="F155" s="31" t="s">
        <v>2314</v>
      </c>
      <c r="G155" s="34" t="s">
        <v>2315</v>
      </c>
      <c r="H155" s="37" t="s">
        <v>53</v>
      </c>
      <c r="I155" s="6" t="s">
        <v>1458</v>
      </c>
      <c r="J155" s="6" t="s">
        <v>1459</v>
      </c>
      <c r="K155" s="6" t="s">
        <v>1460</v>
      </c>
    </row>
    <row r="156" spans="1:11" ht="15">
      <c r="A156" s="30">
        <v>153</v>
      </c>
      <c r="B156" s="30" t="s">
        <v>1463</v>
      </c>
      <c r="C156" s="30">
        <v>153</v>
      </c>
      <c r="D156" s="34">
        <v>7</v>
      </c>
      <c r="E156" s="31" t="s">
        <v>1464</v>
      </c>
      <c r="F156" s="31" t="s">
        <v>2316</v>
      </c>
      <c r="G156" s="34" t="s">
        <v>2094</v>
      </c>
      <c r="H156" s="37" t="s">
        <v>43</v>
      </c>
      <c r="I156" s="6" t="s">
        <v>1467</v>
      </c>
      <c r="J156" s="6" t="s">
        <v>1468</v>
      </c>
      <c r="K156" s="6" t="s">
        <v>1469</v>
      </c>
    </row>
    <row r="157" spans="1:11" ht="15">
      <c r="A157" s="30">
        <v>154</v>
      </c>
      <c r="B157" s="30" t="s">
        <v>1475</v>
      </c>
      <c r="C157" s="30">
        <v>154</v>
      </c>
      <c r="D157" s="34">
        <v>8</v>
      </c>
      <c r="E157" s="31" t="s">
        <v>1476</v>
      </c>
      <c r="F157" s="31" t="s">
        <v>2317</v>
      </c>
      <c r="G157" s="34" t="s">
        <v>2094</v>
      </c>
      <c r="H157" s="37" t="s">
        <v>269</v>
      </c>
      <c r="I157" s="6" t="s">
        <v>1479</v>
      </c>
      <c r="J157" s="6" t="s">
        <v>1480</v>
      </c>
      <c r="K157" s="6" t="s">
        <v>1481</v>
      </c>
    </row>
    <row r="158" spans="1:11" ht="15">
      <c r="A158" s="30">
        <v>155</v>
      </c>
      <c r="B158" s="30" t="s">
        <v>1483</v>
      </c>
      <c r="C158" s="30">
        <v>155</v>
      </c>
      <c r="D158" s="34">
        <v>9</v>
      </c>
      <c r="E158" s="31" t="s">
        <v>1484</v>
      </c>
      <c r="F158" s="31" t="s">
        <v>2318</v>
      </c>
      <c r="G158" s="34" t="s">
        <v>2315</v>
      </c>
      <c r="H158" s="37" t="s">
        <v>314</v>
      </c>
      <c r="I158" s="6" t="s">
        <v>1487</v>
      </c>
      <c r="J158" s="6" t="s">
        <v>1488</v>
      </c>
      <c r="K158" s="6" t="s">
        <v>1489</v>
      </c>
    </row>
    <row r="159" spans="1:11" ht="15">
      <c r="A159" s="30">
        <v>156</v>
      </c>
      <c r="B159" s="30" t="s">
        <v>1491</v>
      </c>
      <c r="C159" s="30">
        <v>156</v>
      </c>
      <c r="D159" s="34">
        <v>8</v>
      </c>
      <c r="E159" s="31" t="s">
        <v>1492</v>
      </c>
      <c r="F159" s="31" t="s">
        <v>2319</v>
      </c>
      <c r="G159" s="34" t="s">
        <v>2094</v>
      </c>
      <c r="H159" s="37" t="s">
        <v>269</v>
      </c>
      <c r="I159" s="6" t="s">
        <v>1495</v>
      </c>
      <c r="J159" s="6" t="s">
        <v>1496</v>
      </c>
      <c r="K159" s="6" t="s">
        <v>1497</v>
      </c>
    </row>
    <row r="160" spans="1:11" ht="15">
      <c r="A160" s="30">
        <v>157</v>
      </c>
      <c r="B160" s="30" t="s">
        <v>1501</v>
      </c>
      <c r="C160" s="30">
        <v>157</v>
      </c>
      <c r="D160" s="34">
        <v>8</v>
      </c>
      <c r="E160" s="31" t="s">
        <v>1502</v>
      </c>
      <c r="F160" s="31" t="s">
        <v>2320</v>
      </c>
      <c r="G160" s="34" t="s">
        <v>2321</v>
      </c>
      <c r="H160" s="37" t="s">
        <v>269</v>
      </c>
      <c r="I160" s="6" t="s">
        <v>1505</v>
      </c>
      <c r="J160" s="6" t="s">
        <v>1506</v>
      </c>
      <c r="K160" s="6" t="s">
        <v>1507</v>
      </c>
    </row>
    <row r="161" spans="1:11" ht="15">
      <c r="A161" s="30">
        <v>158</v>
      </c>
      <c r="B161" s="30" t="s">
        <v>1510</v>
      </c>
      <c r="C161" s="30">
        <v>158</v>
      </c>
      <c r="D161" s="34">
        <v>6</v>
      </c>
      <c r="E161" s="31" t="s">
        <v>1511</v>
      </c>
      <c r="F161" s="31" t="s">
        <v>2322</v>
      </c>
      <c r="G161" s="34" t="s">
        <v>2321</v>
      </c>
      <c r="H161" s="37" t="s">
        <v>53</v>
      </c>
      <c r="I161" s="6" t="s">
        <v>152</v>
      </c>
      <c r="J161" s="6" t="s">
        <v>153</v>
      </c>
      <c r="K161" s="6" t="s">
        <v>1514</v>
      </c>
    </row>
    <row r="162" spans="1:11" ht="45">
      <c r="A162" s="30">
        <v>159</v>
      </c>
      <c r="B162" s="30" t="s">
        <v>1520</v>
      </c>
      <c r="C162" s="30">
        <v>159</v>
      </c>
      <c r="D162" s="34">
        <v>8</v>
      </c>
      <c r="E162" s="31" t="s">
        <v>1521</v>
      </c>
      <c r="F162" s="31" t="s">
        <v>2323</v>
      </c>
      <c r="G162" s="34" t="s">
        <v>2094</v>
      </c>
      <c r="H162" s="37" t="s">
        <v>269</v>
      </c>
      <c r="I162" s="6" t="s">
        <v>1524</v>
      </c>
      <c r="J162" s="6" t="s">
        <v>1525</v>
      </c>
      <c r="K162" s="6" t="s">
        <v>1526</v>
      </c>
    </row>
    <row r="163" spans="1:11" ht="30">
      <c r="A163" s="30">
        <v>160</v>
      </c>
      <c r="B163" s="30" t="s">
        <v>1529</v>
      </c>
      <c r="C163" s="30">
        <v>160</v>
      </c>
      <c r="D163" s="34">
        <v>8</v>
      </c>
      <c r="E163" s="31" t="s">
        <v>1530</v>
      </c>
      <c r="F163" s="31" t="s">
        <v>2324</v>
      </c>
      <c r="G163" s="34" t="s">
        <v>2094</v>
      </c>
      <c r="H163" s="37" t="s">
        <v>269</v>
      </c>
      <c r="I163" s="6" t="s">
        <v>1533</v>
      </c>
      <c r="J163" s="6" t="s">
        <v>1534</v>
      </c>
      <c r="K163" s="11" t="s">
        <v>1535</v>
      </c>
    </row>
    <row r="164" spans="1:11" ht="15">
      <c r="A164" s="30">
        <v>161</v>
      </c>
      <c r="B164" s="30" t="s">
        <v>1539</v>
      </c>
      <c r="C164" s="30">
        <v>161</v>
      </c>
      <c r="D164" s="34">
        <v>9</v>
      </c>
      <c r="E164" s="31" t="s">
        <v>1540</v>
      </c>
      <c r="F164" s="31" t="s">
        <v>2325</v>
      </c>
      <c r="G164" s="34" t="s">
        <v>2315</v>
      </c>
      <c r="H164" s="37" t="s">
        <v>314</v>
      </c>
      <c r="I164" s="6" t="s">
        <v>1543</v>
      </c>
      <c r="J164" s="6" t="s">
        <v>1544</v>
      </c>
      <c r="K164" s="6" t="s">
        <v>1545</v>
      </c>
    </row>
    <row r="165" spans="1:11" ht="15">
      <c r="A165" s="30">
        <v>162</v>
      </c>
      <c r="B165" s="30" t="s">
        <v>1547</v>
      </c>
      <c r="C165" s="30">
        <v>162</v>
      </c>
      <c r="D165" s="34">
        <v>5</v>
      </c>
      <c r="E165" s="31" t="s">
        <v>1548</v>
      </c>
      <c r="F165" s="31" t="s">
        <v>2326</v>
      </c>
      <c r="G165" s="34" t="s">
        <v>2308</v>
      </c>
      <c r="H165" s="37" t="s">
        <v>103</v>
      </c>
      <c r="I165" s="6" t="s">
        <v>1551</v>
      </c>
      <c r="J165" s="6" t="s">
        <v>1552</v>
      </c>
      <c r="K165" s="6" t="s">
        <v>1553</v>
      </c>
    </row>
    <row r="166" spans="1:11" ht="30">
      <c r="A166" s="30">
        <v>163</v>
      </c>
      <c r="B166" s="30" t="s">
        <v>1559</v>
      </c>
      <c r="C166" s="30">
        <v>163</v>
      </c>
      <c r="D166" s="34">
        <v>7</v>
      </c>
      <c r="E166" s="31" t="s">
        <v>1560</v>
      </c>
      <c r="F166" s="31" t="s">
        <v>2327</v>
      </c>
      <c r="G166" s="34" t="s">
        <v>2094</v>
      </c>
      <c r="H166" s="37" t="s">
        <v>43</v>
      </c>
      <c r="I166" s="6" t="s">
        <v>1467</v>
      </c>
      <c r="J166" s="6" t="s">
        <v>1563</v>
      </c>
      <c r="K166" s="6" t="s">
        <v>1564</v>
      </c>
    </row>
    <row r="167" spans="1:11" ht="30">
      <c r="A167" s="30">
        <v>164</v>
      </c>
      <c r="B167" s="32" t="s">
        <v>1570</v>
      </c>
      <c r="C167" s="30">
        <v>164</v>
      </c>
      <c r="D167" s="34">
        <v>6</v>
      </c>
      <c r="E167" s="33" t="s">
        <v>1571</v>
      </c>
      <c r="F167" s="33" t="s">
        <v>2328</v>
      </c>
      <c r="G167" s="34" t="s">
        <v>2329</v>
      </c>
      <c r="H167" s="38" t="s">
        <v>53</v>
      </c>
      <c r="I167" s="10" t="s">
        <v>1022</v>
      </c>
      <c r="J167" s="10" t="s">
        <v>153</v>
      </c>
      <c r="K167" s="10" t="s">
        <v>1574</v>
      </c>
    </row>
    <row r="168" spans="1:11" ht="15">
      <c r="A168" s="30">
        <v>165</v>
      </c>
      <c r="B168" s="30" t="s">
        <v>1578</v>
      </c>
      <c r="C168" s="30">
        <v>165</v>
      </c>
      <c r="D168" s="34">
        <v>6</v>
      </c>
      <c r="E168" s="31" t="s">
        <v>1579</v>
      </c>
      <c r="F168" s="31" t="s">
        <v>2330</v>
      </c>
      <c r="G168" s="34" t="s">
        <v>2103</v>
      </c>
      <c r="H168" s="37" t="s">
        <v>53</v>
      </c>
      <c r="I168" s="6" t="s">
        <v>1582</v>
      </c>
      <c r="J168" s="6" t="s">
        <v>1583</v>
      </c>
      <c r="K168" s="6" t="s">
        <v>1584</v>
      </c>
    </row>
    <row r="169" spans="1:11" ht="45">
      <c r="A169" s="30">
        <v>166</v>
      </c>
      <c r="B169" s="30" t="s">
        <v>1587</v>
      </c>
      <c r="C169" s="30">
        <v>166</v>
      </c>
      <c r="D169" s="34">
        <v>7</v>
      </c>
      <c r="E169" s="31" t="s">
        <v>1588</v>
      </c>
      <c r="F169" s="31" t="s">
        <v>2331</v>
      </c>
      <c r="G169" s="34" t="s">
        <v>2329</v>
      </c>
      <c r="H169" s="37" t="s">
        <v>43</v>
      </c>
      <c r="I169" s="6" t="s">
        <v>1591</v>
      </c>
      <c r="J169" s="6" t="s">
        <v>1592</v>
      </c>
      <c r="K169" s="6" t="s">
        <v>1593</v>
      </c>
    </row>
    <row r="170" spans="1:11" ht="15">
      <c r="A170" s="30">
        <v>167</v>
      </c>
      <c r="B170" s="30" t="s">
        <v>1598</v>
      </c>
      <c r="C170" s="30">
        <v>167</v>
      </c>
      <c r="D170" s="34">
        <v>8</v>
      </c>
      <c r="E170" s="31" t="s">
        <v>1599</v>
      </c>
      <c r="F170" s="31" t="s">
        <v>2332</v>
      </c>
      <c r="G170" s="34" t="s">
        <v>2094</v>
      </c>
      <c r="H170" s="37" t="s">
        <v>269</v>
      </c>
      <c r="I170" s="6" t="s">
        <v>1602</v>
      </c>
      <c r="J170" s="6" t="s">
        <v>1603</v>
      </c>
      <c r="K170" s="6" t="s">
        <v>1604</v>
      </c>
    </row>
    <row r="171" spans="1:11" ht="30">
      <c r="A171" s="30">
        <v>168</v>
      </c>
      <c r="B171" s="30" t="s">
        <v>1608</v>
      </c>
      <c r="C171" s="30">
        <v>168</v>
      </c>
      <c r="D171" s="34">
        <v>7</v>
      </c>
      <c r="E171" s="31" t="s">
        <v>1609</v>
      </c>
      <c r="F171" s="31" t="s">
        <v>2333</v>
      </c>
      <c r="G171" s="34" t="s">
        <v>2334</v>
      </c>
      <c r="H171" s="37" t="s">
        <v>43</v>
      </c>
      <c r="I171" s="6" t="s">
        <v>1612</v>
      </c>
      <c r="J171" s="6" t="s">
        <v>1613</v>
      </c>
      <c r="K171" s="6" t="s">
        <v>1614</v>
      </c>
    </row>
    <row r="172" spans="1:11" ht="15">
      <c r="A172" s="30">
        <v>169</v>
      </c>
      <c r="B172" s="30" t="s">
        <v>1617</v>
      </c>
      <c r="C172" s="30">
        <v>169</v>
      </c>
      <c r="D172" s="34">
        <v>9</v>
      </c>
      <c r="E172" s="31" t="s">
        <v>1618</v>
      </c>
      <c r="F172" s="31" t="s">
        <v>2335</v>
      </c>
      <c r="G172" s="34" t="s">
        <v>2336</v>
      </c>
      <c r="H172" s="37" t="s">
        <v>314</v>
      </c>
      <c r="I172" s="6" t="s">
        <v>1621</v>
      </c>
      <c r="J172" s="6" t="s">
        <v>1622</v>
      </c>
      <c r="K172" s="6" t="s">
        <v>1623</v>
      </c>
    </row>
    <row r="173" spans="1:11" ht="15">
      <c r="A173" s="30">
        <v>170</v>
      </c>
      <c r="B173" s="30" t="s">
        <v>1626</v>
      </c>
      <c r="C173" s="30">
        <v>170</v>
      </c>
      <c r="D173" s="34">
        <v>6</v>
      </c>
      <c r="E173" s="31" t="s">
        <v>1627</v>
      </c>
      <c r="F173" s="31" t="s">
        <v>2337</v>
      </c>
      <c r="G173" s="34" t="s">
        <v>2336</v>
      </c>
      <c r="H173" s="37" t="s">
        <v>53</v>
      </c>
      <c r="I173" s="6" t="s">
        <v>1630</v>
      </c>
      <c r="J173" s="6" t="s">
        <v>1631</v>
      </c>
      <c r="K173" s="6" t="s">
        <v>1632</v>
      </c>
    </row>
    <row r="174" spans="1:11" ht="15">
      <c r="A174" s="30">
        <v>171</v>
      </c>
      <c r="B174" s="30" t="s">
        <v>1636</v>
      </c>
      <c r="C174" s="30">
        <v>171</v>
      </c>
      <c r="D174" s="34">
        <v>12</v>
      </c>
      <c r="E174" s="31" t="s">
        <v>1637</v>
      </c>
      <c r="F174" s="31" t="s">
        <v>2338</v>
      </c>
      <c r="G174" s="34" t="s">
        <v>2339</v>
      </c>
      <c r="H174" s="37" t="s">
        <v>62</v>
      </c>
      <c r="I174" s="6" t="s">
        <v>1338</v>
      </c>
      <c r="J174" s="6" t="s">
        <v>1339</v>
      </c>
      <c r="K174" s="6" t="s">
        <v>1340</v>
      </c>
    </row>
    <row r="175" spans="1:11" ht="15">
      <c r="A175" s="30">
        <v>172</v>
      </c>
      <c r="B175" s="30" t="s">
        <v>1645</v>
      </c>
      <c r="C175" s="30">
        <v>172</v>
      </c>
      <c r="D175" s="34">
        <v>11</v>
      </c>
      <c r="E175" s="31" t="s">
        <v>1646</v>
      </c>
      <c r="F175" s="31" t="s">
        <v>2340</v>
      </c>
      <c r="G175" s="34" t="s">
        <v>2341</v>
      </c>
      <c r="H175" s="37" t="s">
        <v>20</v>
      </c>
      <c r="I175" s="6" t="s">
        <v>1649</v>
      </c>
      <c r="J175" s="6" t="s">
        <v>1650</v>
      </c>
      <c r="K175" s="6" t="s">
        <v>1651</v>
      </c>
    </row>
    <row r="176" spans="1:11" ht="15">
      <c r="A176" s="30">
        <v>173</v>
      </c>
      <c r="B176" s="30" t="s">
        <v>1654</v>
      </c>
      <c r="C176" s="30">
        <v>173</v>
      </c>
      <c r="D176" s="34">
        <v>11</v>
      </c>
      <c r="E176" s="31" t="s">
        <v>1655</v>
      </c>
      <c r="F176" s="31" t="s">
        <v>2342</v>
      </c>
      <c r="G176" s="34" t="s">
        <v>1655</v>
      </c>
      <c r="H176" s="37" t="s">
        <v>20</v>
      </c>
      <c r="I176" s="6" t="s">
        <v>1191</v>
      </c>
      <c r="J176" s="6" t="s">
        <v>1192</v>
      </c>
      <c r="K176" s="6" t="s">
        <v>1193</v>
      </c>
    </row>
    <row r="177" spans="1:11" ht="15">
      <c r="A177" s="30">
        <v>174</v>
      </c>
      <c r="B177" s="30" t="s">
        <v>1661</v>
      </c>
      <c r="C177" s="30">
        <v>174</v>
      </c>
      <c r="D177" s="34">
        <v>7</v>
      </c>
      <c r="E177" s="31" t="s">
        <v>1662</v>
      </c>
      <c r="F177" s="31" t="s">
        <v>2343</v>
      </c>
      <c r="G177" s="34" t="s">
        <v>2344</v>
      </c>
      <c r="H177" s="37" t="s">
        <v>43</v>
      </c>
      <c r="I177" s="6" t="s">
        <v>1665</v>
      </c>
      <c r="J177" s="6" t="s">
        <v>1666</v>
      </c>
      <c r="K177" s="6" t="s">
        <v>1129</v>
      </c>
    </row>
    <row r="178" spans="1:11" ht="15">
      <c r="A178" s="30">
        <v>175</v>
      </c>
      <c r="B178" s="30" t="s">
        <v>1669</v>
      </c>
      <c r="C178" s="30">
        <v>175</v>
      </c>
      <c r="D178" s="34">
        <v>7</v>
      </c>
      <c r="E178" s="31" t="s">
        <v>1670</v>
      </c>
      <c r="F178" s="31" t="s">
        <v>2345</v>
      </c>
      <c r="G178" s="34" t="s">
        <v>2078</v>
      </c>
      <c r="H178" s="37" t="s">
        <v>43</v>
      </c>
      <c r="I178" s="6" t="s">
        <v>1673</v>
      </c>
      <c r="J178" s="6" t="s">
        <v>1468</v>
      </c>
      <c r="K178" s="6" t="s">
        <v>1674</v>
      </c>
    </row>
    <row r="179" spans="1:11" ht="30">
      <c r="A179" s="30">
        <v>176</v>
      </c>
      <c r="B179" s="30" t="s">
        <v>1677</v>
      </c>
      <c r="C179" s="30">
        <v>176</v>
      </c>
      <c r="D179" s="34">
        <v>5</v>
      </c>
      <c r="E179" s="31" t="s">
        <v>1678</v>
      </c>
      <c r="F179" s="31" t="s">
        <v>2346</v>
      </c>
      <c r="G179" s="34" t="s">
        <v>2347</v>
      </c>
      <c r="H179" s="37" t="s">
        <v>103</v>
      </c>
      <c r="I179" s="6" t="s">
        <v>1681</v>
      </c>
      <c r="J179" s="6" t="s">
        <v>1682</v>
      </c>
      <c r="K179" s="6" t="s">
        <v>1683</v>
      </c>
    </row>
    <row r="180" spans="1:11" ht="15">
      <c r="A180" s="30">
        <v>177</v>
      </c>
      <c r="B180" s="30" t="s">
        <v>1686</v>
      </c>
      <c r="C180" s="30">
        <v>177</v>
      </c>
      <c r="D180" s="34">
        <v>5</v>
      </c>
      <c r="E180" s="31" t="s">
        <v>1687</v>
      </c>
      <c r="F180" s="31" t="s">
        <v>2348</v>
      </c>
      <c r="G180" s="34" t="s">
        <v>2349</v>
      </c>
      <c r="H180" s="37" t="s">
        <v>103</v>
      </c>
      <c r="I180" s="6" t="s">
        <v>1690</v>
      </c>
      <c r="J180" s="6" t="s">
        <v>1691</v>
      </c>
      <c r="K180" s="6" t="s">
        <v>1692</v>
      </c>
    </row>
    <row r="181" spans="1:11" ht="30">
      <c r="A181" s="30">
        <v>178</v>
      </c>
      <c r="B181" s="30" t="s">
        <v>1696</v>
      </c>
      <c r="C181" s="30">
        <v>178</v>
      </c>
      <c r="D181" s="34">
        <v>12</v>
      </c>
      <c r="E181" s="31" t="s">
        <v>1697</v>
      </c>
      <c r="F181" s="31" t="s">
        <v>2350</v>
      </c>
      <c r="G181" s="34" t="s">
        <v>2351</v>
      </c>
      <c r="H181" s="37" t="s">
        <v>62</v>
      </c>
      <c r="I181" s="6" t="s">
        <v>1700</v>
      </c>
      <c r="J181" s="6" t="s">
        <v>1701</v>
      </c>
      <c r="K181" s="6" t="s">
        <v>1702</v>
      </c>
    </row>
    <row r="182" spans="1:11" ht="15">
      <c r="A182" s="30">
        <v>179</v>
      </c>
      <c r="B182" s="30" t="s">
        <v>1705</v>
      </c>
      <c r="C182" s="30">
        <v>179</v>
      </c>
      <c r="D182" s="34">
        <v>5</v>
      </c>
      <c r="E182" s="31" t="s">
        <v>1706</v>
      </c>
      <c r="F182" s="31" t="s">
        <v>2352</v>
      </c>
      <c r="G182" s="34" t="s">
        <v>2353</v>
      </c>
      <c r="H182" s="37" t="s">
        <v>103</v>
      </c>
      <c r="I182" s="6" t="s">
        <v>1709</v>
      </c>
      <c r="J182" s="6" t="s">
        <v>1710</v>
      </c>
      <c r="K182" s="6" t="s">
        <v>1711</v>
      </c>
    </row>
    <row r="183" spans="1:11" ht="30">
      <c r="A183" s="30">
        <v>180</v>
      </c>
      <c r="B183" s="30" t="s">
        <v>1714</v>
      </c>
      <c r="C183" s="30">
        <v>180</v>
      </c>
      <c r="D183" s="34">
        <v>11</v>
      </c>
      <c r="E183" s="31" t="s">
        <v>1715</v>
      </c>
      <c r="F183" s="31" t="s">
        <v>2354</v>
      </c>
      <c r="G183" s="34" t="s">
        <v>2355</v>
      </c>
      <c r="H183" s="37" t="s">
        <v>20</v>
      </c>
      <c r="I183" s="6" t="s">
        <v>1718</v>
      </c>
      <c r="J183" s="6" t="s">
        <v>1719</v>
      </c>
      <c r="K183" s="6" t="s">
        <v>1720</v>
      </c>
    </row>
    <row r="184" spans="1:11" ht="30">
      <c r="A184" s="30">
        <v>181</v>
      </c>
      <c r="B184" s="30" t="s">
        <v>1724</v>
      </c>
      <c r="C184" s="30">
        <v>181</v>
      </c>
      <c r="D184" s="34">
        <v>12</v>
      </c>
      <c r="E184" s="31" t="s">
        <v>1725</v>
      </c>
      <c r="F184" s="31" t="s">
        <v>2356</v>
      </c>
      <c r="G184" s="34" t="s">
        <v>2357</v>
      </c>
      <c r="H184" s="37" t="s">
        <v>62</v>
      </c>
      <c r="I184" s="6" t="s">
        <v>1728</v>
      </c>
      <c r="J184" s="6" t="s">
        <v>1729</v>
      </c>
      <c r="K184" s="6" t="s">
        <v>1730</v>
      </c>
    </row>
    <row r="185" spans="1:11" ht="15">
      <c r="A185" s="30">
        <v>182</v>
      </c>
      <c r="B185" s="30" t="s">
        <v>1735</v>
      </c>
      <c r="C185" s="30">
        <v>182</v>
      </c>
      <c r="D185" s="34">
        <v>12</v>
      </c>
      <c r="E185" s="31" t="s">
        <v>1736</v>
      </c>
      <c r="F185" s="31" t="s">
        <v>2358</v>
      </c>
      <c r="G185" s="34" t="s">
        <v>2357</v>
      </c>
      <c r="H185" s="37" t="s">
        <v>62</v>
      </c>
      <c r="I185" s="6" t="s">
        <v>1739</v>
      </c>
      <c r="J185" s="6" t="s">
        <v>1740</v>
      </c>
      <c r="K185" s="6" t="s">
        <v>1741</v>
      </c>
    </row>
    <row r="186" spans="1:11" ht="15">
      <c r="A186" s="30">
        <v>183</v>
      </c>
      <c r="B186" s="30" t="s">
        <v>1745</v>
      </c>
      <c r="C186" s="30">
        <v>183</v>
      </c>
      <c r="D186" s="34">
        <v>6</v>
      </c>
      <c r="E186" s="31" t="s">
        <v>1746</v>
      </c>
      <c r="F186" s="31" t="s">
        <v>2359</v>
      </c>
      <c r="G186" s="34" t="s">
        <v>2360</v>
      </c>
      <c r="H186" s="37" t="s">
        <v>53</v>
      </c>
      <c r="I186" s="6" t="s">
        <v>1749</v>
      </c>
      <c r="J186" s="6" t="s">
        <v>1750</v>
      </c>
      <c r="K186" s="6" t="s">
        <v>1751</v>
      </c>
    </row>
    <row r="187" spans="1:11" ht="15">
      <c r="A187" s="30">
        <v>184</v>
      </c>
      <c r="B187" s="30" t="s">
        <v>1753</v>
      </c>
      <c r="C187" s="30">
        <v>184</v>
      </c>
      <c r="D187" s="34">
        <v>6</v>
      </c>
      <c r="E187" s="31" t="s">
        <v>1754</v>
      </c>
      <c r="F187" s="31" t="s">
        <v>2361</v>
      </c>
      <c r="G187" s="34" t="s">
        <v>2362</v>
      </c>
      <c r="H187" s="37" t="s">
        <v>53</v>
      </c>
      <c r="I187" s="6" t="s">
        <v>1757</v>
      </c>
      <c r="J187" s="6" t="s">
        <v>1758</v>
      </c>
      <c r="K187" s="6" t="s">
        <v>1759</v>
      </c>
    </row>
    <row r="188" spans="1:11" ht="15">
      <c r="A188" s="30">
        <v>185</v>
      </c>
      <c r="B188" s="30" t="s">
        <v>1764</v>
      </c>
      <c r="C188" s="30">
        <v>185</v>
      </c>
      <c r="D188" s="34">
        <v>6</v>
      </c>
      <c r="E188" s="31" t="s">
        <v>1765</v>
      </c>
      <c r="F188" s="31" t="s">
        <v>2363</v>
      </c>
      <c r="G188" s="34" t="s">
        <v>2362</v>
      </c>
      <c r="H188" s="37" t="s">
        <v>53</v>
      </c>
      <c r="I188" s="6" t="s">
        <v>1768</v>
      </c>
      <c r="J188" s="6" t="s">
        <v>1769</v>
      </c>
      <c r="K188" s="6" t="s">
        <v>1770</v>
      </c>
    </row>
    <row r="189" spans="1:11" ht="30">
      <c r="A189" s="30">
        <v>186</v>
      </c>
      <c r="B189" s="30" t="s">
        <v>1773</v>
      </c>
      <c r="C189" s="30">
        <v>186</v>
      </c>
      <c r="D189" s="34">
        <v>8</v>
      </c>
      <c r="E189" s="31" t="s">
        <v>1774</v>
      </c>
      <c r="F189" s="31" t="s">
        <v>2364</v>
      </c>
      <c r="G189" s="34" t="s">
        <v>2362</v>
      </c>
      <c r="H189" s="37" t="s">
        <v>269</v>
      </c>
      <c r="I189" s="6" t="s">
        <v>1777</v>
      </c>
      <c r="J189" s="6" t="s">
        <v>1778</v>
      </c>
      <c r="K189" s="6" t="s">
        <v>1779</v>
      </c>
    </row>
    <row r="190" spans="1:11" ht="15">
      <c r="A190" s="30">
        <v>187</v>
      </c>
      <c r="B190" s="30" t="s">
        <v>1782</v>
      </c>
      <c r="C190" s="30">
        <v>187</v>
      </c>
      <c r="D190" s="34">
        <v>11</v>
      </c>
      <c r="E190" s="31" t="s">
        <v>1783</v>
      </c>
      <c r="F190" s="31" t="s">
        <v>2365</v>
      </c>
      <c r="G190" s="34" t="s">
        <v>2366</v>
      </c>
      <c r="H190" s="37" t="s">
        <v>20</v>
      </c>
      <c r="I190" s="6" t="s">
        <v>1786</v>
      </c>
      <c r="J190" s="6" t="s">
        <v>1787</v>
      </c>
      <c r="K190" s="6" t="s">
        <v>1788</v>
      </c>
    </row>
    <row r="191" spans="1:11" ht="15">
      <c r="A191" s="30">
        <v>188</v>
      </c>
      <c r="B191" s="30" t="s">
        <v>1791</v>
      </c>
      <c r="C191" s="30">
        <v>188</v>
      </c>
      <c r="D191" s="34">
        <v>6</v>
      </c>
      <c r="E191" s="31" t="s">
        <v>1792</v>
      </c>
      <c r="F191" s="31" t="s">
        <v>2367</v>
      </c>
      <c r="G191" s="34" t="s">
        <v>2368</v>
      </c>
      <c r="H191" s="37" t="s">
        <v>53</v>
      </c>
      <c r="I191" s="6" t="s">
        <v>1795</v>
      </c>
      <c r="J191" s="6" t="s">
        <v>1796</v>
      </c>
      <c r="K191" s="6" t="s">
        <v>1797</v>
      </c>
    </row>
    <row r="192" spans="1:11" ht="15">
      <c r="A192" s="30">
        <v>189</v>
      </c>
      <c r="B192" s="30" t="s">
        <v>1798</v>
      </c>
      <c r="C192" s="30">
        <v>189</v>
      </c>
      <c r="D192" s="34">
        <v>6</v>
      </c>
      <c r="E192" s="31" t="s">
        <v>1799</v>
      </c>
      <c r="F192" s="31" t="s">
        <v>2369</v>
      </c>
      <c r="G192" s="34" t="s">
        <v>2370</v>
      </c>
      <c r="H192" s="37" t="s">
        <v>53</v>
      </c>
      <c r="I192" s="6" t="s">
        <v>1437</v>
      </c>
      <c r="J192" s="6" t="s">
        <v>1438</v>
      </c>
      <c r="K192" s="6" t="s">
        <v>1439</v>
      </c>
    </row>
    <row r="193" spans="1:11" ht="30">
      <c r="A193" s="30">
        <v>190</v>
      </c>
      <c r="B193" s="30" t="s">
        <v>1806</v>
      </c>
      <c r="C193" s="30">
        <v>190</v>
      </c>
      <c r="D193" s="34">
        <v>4</v>
      </c>
      <c r="E193" s="31" t="s">
        <v>1807</v>
      </c>
      <c r="F193" s="31" t="s">
        <v>2371</v>
      </c>
      <c r="G193" s="34" t="s">
        <v>2372</v>
      </c>
      <c r="H193" s="37" t="s">
        <v>305</v>
      </c>
      <c r="I193" s="6" t="s">
        <v>1810</v>
      </c>
      <c r="J193" s="6" t="s">
        <v>1811</v>
      </c>
      <c r="K193" s="6" t="s">
        <v>1812</v>
      </c>
    </row>
    <row r="194" spans="1:11" ht="30">
      <c r="A194" s="30">
        <v>191</v>
      </c>
      <c r="B194" s="30" t="s">
        <v>1815</v>
      </c>
      <c r="C194" s="30">
        <v>191</v>
      </c>
      <c r="D194" s="34">
        <v>4</v>
      </c>
      <c r="E194" s="31" t="s">
        <v>1816</v>
      </c>
      <c r="F194" s="31" t="s">
        <v>2373</v>
      </c>
      <c r="G194" s="34" t="s">
        <v>2372</v>
      </c>
      <c r="H194" s="37" t="s">
        <v>305</v>
      </c>
      <c r="I194" s="6" t="s">
        <v>1819</v>
      </c>
      <c r="J194" s="6" t="s">
        <v>1820</v>
      </c>
      <c r="K194" s="6" t="s">
        <v>1821</v>
      </c>
    </row>
    <row r="195" spans="1:11" ht="15">
      <c r="A195" s="30">
        <v>192</v>
      </c>
      <c r="B195" s="30" t="s">
        <v>1826</v>
      </c>
      <c r="C195" s="30">
        <v>192</v>
      </c>
      <c r="D195" s="34">
        <v>5</v>
      </c>
      <c r="E195" s="31" t="s">
        <v>1827</v>
      </c>
      <c r="F195" s="31" t="s">
        <v>2374</v>
      </c>
      <c r="G195" s="34" t="s">
        <v>2372</v>
      </c>
      <c r="H195" s="37" t="s">
        <v>103</v>
      </c>
      <c r="I195" s="6" t="s">
        <v>1690</v>
      </c>
      <c r="J195" s="6" t="s">
        <v>1691</v>
      </c>
      <c r="K195" s="6" t="s">
        <v>1692</v>
      </c>
    </row>
    <row r="196" spans="1:11" ht="15">
      <c r="A196" s="30">
        <v>193</v>
      </c>
      <c r="B196" s="30" t="s">
        <v>1834</v>
      </c>
      <c r="C196" s="30">
        <v>193</v>
      </c>
      <c r="D196" s="34">
        <v>7</v>
      </c>
      <c r="E196" s="31" t="s">
        <v>1835</v>
      </c>
      <c r="F196" s="31" t="s">
        <v>2375</v>
      </c>
      <c r="G196" s="34" t="s">
        <v>2376</v>
      </c>
      <c r="H196" s="37" t="s">
        <v>43</v>
      </c>
      <c r="I196" s="6" t="s">
        <v>1838</v>
      </c>
      <c r="J196" s="6" t="s">
        <v>1839</v>
      </c>
      <c r="K196" s="6" t="s">
        <v>1840</v>
      </c>
    </row>
    <row r="197" spans="1:11" ht="15">
      <c r="A197" s="30">
        <v>194</v>
      </c>
      <c r="B197" s="30" t="s">
        <v>1845</v>
      </c>
      <c r="C197" s="30">
        <v>194</v>
      </c>
      <c r="D197" s="34">
        <v>11</v>
      </c>
      <c r="E197" s="31" t="s">
        <v>1846</v>
      </c>
      <c r="F197" s="31" t="s">
        <v>2377</v>
      </c>
      <c r="G197" s="34" t="s">
        <v>2378</v>
      </c>
      <c r="H197" s="37" t="s">
        <v>20</v>
      </c>
      <c r="I197" s="6" t="s">
        <v>1849</v>
      </c>
      <c r="J197" s="6" t="s">
        <v>1850</v>
      </c>
      <c r="K197" s="6" t="s">
        <v>1851</v>
      </c>
    </row>
    <row r="198" spans="1:11" ht="15">
      <c r="A198" s="30">
        <v>195</v>
      </c>
      <c r="B198" s="30" t="s">
        <v>1854</v>
      </c>
      <c r="C198" s="30">
        <v>195</v>
      </c>
      <c r="D198" s="34">
        <v>6</v>
      </c>
      <c r="E198" s="31" t="s">
        <v>1855</v>
      </c>
      <c r="F198" s="31" t="s">
        <v>2379</v>
      </c>
      <c r="G198" s="34" t="s">
        <v>2161</v>
      </c>
      <c r="H198" s="37" t="s">
        <v>53</v>
      </c>
      <c r="I198" s="6" t="s">
        <v>1858</v>
      </c>
      <c r="J198" s="6" t="s">
        <v>1859</v>
      </c>
      <c r="K198" s="6" t="s">
        <v>1860</v>
      </c>
    </row>
    <row r="199" spans="1:11" ht="15">
      <c r="A199" s="30">
        <v>196</v>
      </c>
      <c r="B199" s="30" t="s">
        <v>1863</v>
      </c>
      <c r="C199" s="30">
        <v>196</v>
      </c>
      <c r="D199" s="34">
        <v>11</v>
      </c>
      <c r="E199" s="31" t="s">
        <v>1864</v>
      </c>
      <c r="F199" s="31" t="s">
        <v>2380</v>
      </c>
      <c r="G199" s="34" t="s">
        <v>2381</v>
      </c>
      <c r="H199" s="37" t="s">
        <v>20</v>
      </c>
      <c r="I199" s="6" t="s">
        <v>1867</v>
      </c>
      <c r="J199" s="6" t="s">
        <v>1868</v>
      </c>
      <c r="K199" s="6" t="s">
        <v>1869</v>
      </c>
    </row>
    <row r="200" spans="1:11" ht="15">
      <c r="A200" s="30">
        <v>197</v>
      </c>
      <c r="B200" s="30" t="s">
        <v>1872</v>
      </c>
      <c r="C200" s="30">
        <v>197</v>
      </c>
      <c r="D200" s="34">
        <v>12</v>
      </c>
      <c r="E200" s="31" t="s">
        <v>1873</v>
      </c>
      <c r="F200" s="31" t="s">
        <v>2382</v>
      </c>
      <c r="G200" s="34" t="s">
        <v>2383</v>
      </c>
      <c r="H200" s="37" t="s">
        <v>62</v>
      </c>
      <c r="I200" s="6" t="s">
        <v>1876</v>
      </c>
      <c r="J200" s="6" t="s">
        <v>1877</v>
      </c>
      <c r="K200" s="6" t="s">
        <v>1878</v>
      </c>
    </row>
    <row r="201" spans="1:11" ht="15">
      <c r="A201" s="30">
        <v>198</v>
      </c>
      <c r="B201" s="30" t="s">
        <v>1882</v>
      </c>
      <c r="C201" s="30">
        <v>198</v>
      </c>
      <c r="D201" s="34">
        <v>12</v>
      </c>
      <c r="E201" s="31" t="s">
        <v>1883</v>
      </c>
      <c r="F201" s="31" t="s">
        <v>2384</v>
      </c>
      <c r="G201" s="34" t="s">
        <v>2383</v>
      </c>
      <c r="H201" s="37" t="s">
        <v>62</v>
      </c>
      <c r="I201" s="6" t="s">
        <v>1886</v>
      </c>
      <c r="J201" s="6" t="s">
        <v>1887</v>
      </c>
      <c r="K201" s="6" t="s">
        <v>1888</v>
      </c>
    </row>
    <row r="202" spans="1:11" ht="15">
      <c r="A202" s="30">
        <v>199</v>
      </c>
      <c r="B202" s="30" t="s">
        <v>1893</v>
      </c>
      <c r="C202" s="30">
        <v>199</v>
      </c>
      <c r="D202" s="34">
        <v>11</v>
      </c>
      <c r="E202" s="31" t="s">
        <v>1894</v>
      </c>
      <c r="F202" s="31" t="s">
        <v>2385</v>
      </c>
      <c r="G202" s="34" t="s">
        <v>2386</v>
      </c>
      <c r="H202" s="39" t="s">
        <v>20</v>
      </c>
      <c r="I202" s="6" t="s">
        <v>1897</v>
      </c>
      <c r="J202" s="6" t="s">
        <v>1898</v>
      </c>
      <c r="K202" s="6" t="s">
        <v>1899</v>
      </c>
    </row>
    <row r="203" spans="1:11" ht="15">
      <c r="A203" s="30">
        <v>200</v>
      </c>
      <c r="B203" s="30" t="s">
        <v>1903</v>
      </c>
      <c r="C203" s="30">
        <v>200</v>
      </c>
      <c r="D203" s="34">
        <v>7</v>
      </c>
      <c r="E203" s="31" t="s">
        <v>1904</v>
      </c>
      <c r="F203" s="31" t="s">
        <v>2387</v>
      </c>
      <c r="G203" s="34" t="s">
        <v>2388</v>
      </c>
      <c r="H203" s="37" t="s">
        <v>43</v>
      </c>
      <c r="I203" s="6" t="s">
        <v>1907</v>
      </c>
      <c r="J203" s="6" t="s">
        <v>1908</v>
      </c>
      <c r="K203" s="6" t="s">
        <v>1909</v>
      </c>
    </row>
    <row r="204" spans="1:11" ht="30">
      <c r="A204" s="30">
        <v>201</v>
      </c>
      <c r="B204" s="30" t="s">
        <v>1914</v>
      </c>
      <c r="C204" s="30">
        <v>201</v>
      </c>
      <c r="D204" s="34">
        <v>4</v>
      </c>
      <c r="E204" s="31" t="s">
        <v>1915</v>
      </c>
      <c r="F204" s="31" t="s">
        <v>2389</v>
      </c>
      <c r="G204" s="34" t="s">
        <v>2390</v>
      </c>
      <c r="H204" s="37" t="s">
        <v>305</v>
      </c>
      <c r="I204" s="6" t="s">
        <v>1918</v>
      </c>
      <c r="J204" s="6" t="s">
        <v>1919</v>
      </c>
      <c r="K204" s="11" t="s">
        <v>1920</v>
      </c>
    </row>
    <row r="205" spans="1:11" ht="15">
      <c r="A205" s="30">
        <v>202</v>
      </c>
      <c r="B205" s="30" t="s">
        <v>1922</v>
      </c>
      <c r="C205" s="30">
        <v>202</v>
      </c>
      <c r="D205" s="34">
        <v>4</v>
      </c>
      <c r="E205" s="31" t="s">
        <v>1923</v>
      </c>
      <c r="F205" s="31" t="s">
        <v>2391</v>
      </c>
      <c r="G205" s="34" t="s">
        <v>2392</v>
      </c>
      <c r="H205" s="37" t="s">
        <v>305</v>
      </c>
      <c r="I205" s="6" t="s">
        <v>1926</v>
      </c>
      <c r="J205" s="6" t="s">
        <v>1927</v>
      </c>
      <c r="K205" s="11" t="s">
        <v>1928</v>
      </c>
    </row>
    <row r="206" spans="1:11" ht="15">
      <c r="A206" s="30">
        <v>203</v>
      </c>
      <c r="B206" s="30" t="s">
        <v>1931</v>
      </c>
      <c r="C206" s="30">
        <v>203</v>
      </c>
      <c r="D206" s="34">
        <v>5</v>
      </c>
      <c r="E206" s="31" t="s">
        <v>1932</v>
      </c>
      <c r="F206" s="31" t="s">
        <v>2393</v>
      </c>
      <c r="G206" s="34" t="s">
        <v>2392</v>
      </c>
      <c r="H206" s="37" t="s">
        <v>103</v>
      </c>
      <c r="I206" s="6" t="s">
        <v>1935</v>
      </c>
      <c r="J206" s="6" t="s">
        <v>1936</v>
      </c>
      <c r="K206" s="6" t="s">
        <v>1937</v>
      </c>
    </row>
    <row r="207" spans="1:11" ht="15">
      <c r="A207" s="30">
        <v>204</v>
      </c>
      <c r="B207" s="30" t="s">
        <v>1940</v>
      </c>
      <c r="C207" s="30">
        <v>204</v>
      </c>
      <c r="D207" s="34">
        <v>4</v>
      </c>
      <c r="E207" s="31" t="s">
        <v>1941</v>
      </c>
      <c r="F207" s="31" t="s">
        <v>2394</v>
      </c>
      <c r="G207" s="34" t="s">
        <v>2392</v>
      </c>
      <c r="H207" s="37" t="s">
        <v>305</v>
      </c>
      <c r="I207" s="6" t="s">
        <v>1944</v>
      </c>
      <c r="J207" s="6" t="s">
        <v>1945</v>
      </c>
      <c r="K207" s="6" t="s">
        <v>1946</v>
      </c>
    </row>
    <row r="208" spans="1:11" ht="30">
      <c r="A208" s="30">
        <v>205</v>
      </c>
      <c r="B208" s="30" t="s">
        <v>1950</v>
      </c>
      <c r="C208" s="30">
        <v>205</v>
      </c>
      <c r="D208" s="34">
        <v>11</v>
      </c>
      <c r="E208" s="31" t="s">
        <v>1951</v>
      </c>
      <c r="F208" s="31" t="s">
        <v>2395</v>
      </c>
      <c r="G208" s="34" t="s">
        <v>2396</v>
      </c>
      <c r="H208" s="37" t="s">
        <v>20</v>
      </c>
      <c r="I208" s="6" t="s">
        <v>1954</v>
      </c>
      <c r="J208" s="6" t="s">
        <v>1955</v>
      </c>
      <c r="K208" s="6" t="s">
        <v>1956</v>
      </c>
    </row>
    <row r="209" spans="1:11" ht="15">
      <c r="A209" s="30">
        <v>206</v>
      </c>
      <c r="B209" s="30" t="s">
        <v>1960</v>
      </c>
      <c r="C209" s="30">
        <v>206</v>
      </c>
      <c r="D209" s="34">
        <v>5</v>
      </c>
      <c r="E209" s="31" t="s">
        <v>1961</v>
      </c>
      <c r="F209" s="31" t="s">
        <v>2397</v>
      </c>
      <c r="G209" s="34" t="s">
        <v>2398</v>
      </c>
      <c r="H209" s="37" t="s">
        <v>103</v>
      </c>
      <c r="I209" s="6" t="s">
        <v>1964</v>
      </c>
      <c r="J209" s="6" t="s">
        <v>1965</v>
      </c>
      <c r="K209" s="6" t="s">
        <v>1966</v>
      </c>
    </row>
    <row r="210" spans="1:11" ht="15">
      <c r="A210" s="30">
        <v>207</v>
      </c>
      <c r="B210" s="30" t="s">
        <v>1969</v>
      </c>
      <c r="C210" s="30">
        <v>207</v>
      </c>
      <c r="D210" s="34">
        <v>4</v>
      </c>
      <c r="E210" s="31" t="s">
        <v>1970</v>
      </c>
      <c r="F210" s="31" t="s">
        <v>2399</v>
      </c>
      <c r="G210" s="34" t="s">
        <v>2398</v>
      </c>
      <c r="H210" s="37" t="s">
        <v>305</v>
      </c>
      <c r="I210" s="6" t="s">
        <v>1973</v>
      </c>
      <c r="J210" s="6" t="s">
        <v>1974</v>
      </c>
      <c r="K210" s="6" t="s">
        <v>1975</v>
      </c>
    </row>
    <row r="211" spans="1:11" ht="15">
      <c r="A211" s="30">
        <v>208</v>
      </c>
      <c r="B211" s="30" t="s">
        <v>1978</v>
      </c>
      <c r="C211" s="30">
        <v>208</v>
      </c>
      <c r="D211" s="34">
        <v>9</v>
      </c>
      <c r="E211" s="31" t="s">
        <v>1979</v>
      </c>
      <c r="F211" s="31" t="s">
        <v>2400</v>
      </c>
      <c r="G211" s="34" t="s">
        <v>2401</v>
      </c>
      <c r="H211" s="37" t="s">
        <v>314</v>
      </c>
      <c r="I211" s="6" t="s">
        <v>1982</v>
      </c>
      <c r="J211" s="6" t="s">
        <v>1983</v>
      </c>
      <c r="K211" s="6" t="s">
        <v>1984</v>
      </c>
    </row>
    <row r="212" spans="1:11" ht="15">
      <c r="A212" s="30">
        <v>209</v>
      </c>
      <c r="B212" s="30" t="s">
        <v>1986</v>
      </c>
      <c r="C212" s="30">
        <v>209</v>
      </c>
      <c r="D212" s="34">
        <v>7</v>
      </c>
      <c r="E212" s="31" t="s">
        <v>1987</v>
      </c>
      <c r="F212" s="31" t="s">
        <v>2402</v>
      </c>
      <c r="G212" s="34" t="s">
        <v>2403</v>
      </c>
      <c r="H212" s="37" t="s">
        <v>43</v>
      </c>
      <c r="I212" s="6" t="s">
        <v>1990</v>
      </c>
      <c r="J212" s="6" t="s">
        <v>1991</v>
      </c>
      <c r="K212" s="6" t="s">
        <v>1992</v>
      </c>
    </row>
    <row r="213" spans="1:11" ht="15">
      <c r="A213" s="30">
        <v>210</v>
      </c>
      <c r="B213" s="30" t="s">
        <v>1995</v>
      </c>
      <c r="C213" s="30">
        <v>210</v>
      </c>
      <c r="D213" s="34">
        <v>7</v>
      </c>
      <c r="E213" s="31" t="s">
        <v>1996</v>
      </c>
      <c r="F213" s="31" t="s">
        <v>2404</v>
      </c>
      <c r="G213" s="34" t="s">
        <v>2220</v>
      </c>
      <c r="H213" s="37" t="s">
        <v>43</v>
      </c>
      <c r="I213" s="6" t="s">
        <v>1999</v>
      </c>
      <c r="J213" s="6" t="s">
        <v>2000</v>
      </c>
      <c r="K213" s="6" t="s">
        <v>2001</v>
      </c>
    </row>
    <row r="214" spans="1:11" ht="15">
      <c r="A214" s="30">
        <v>211</v>
      </c>
      <c r="B214" s="30" t="s">
        <v>2002</v>
      </c>
      <c r="C214" s="30">
        <v>211</v>
      </c>
      <c r="D214" s="34">
        <v>7</v>
      </c>
      <c r="E214" s="31" t="s">
        <v>2003</v>
      </c>
      <c r="F214" s="31" t="s">
        <v>2405</v>
      </c>
      <c r="G214" s="34" t="s">
        <v>2220</v>
      </c>
      <c r="H214" s="37" t="s">
        <v>43</v>
      </c>
      <c r="I214" s="6" t="s">
        <v>2006</v>
      </c>
      <c r="J214" s="6" t="s">
        <v>2007</v>
      </c>
      <c r="K214" s="6" t="s">
        <v>2008</v>
      </c>
    </row>
    <row r="215" spans="1:11" ht="15">
      <c r="A215" s="30">
        <v>212</v>
      </c>
      <c r="B215" s="30" t="s">
        <v>2009</v>
      </c>
      <c r="C215" s="30">
        <v>212</v>
      </c>
      <c r="D215" s="34">
        <v>7</v>
      </c>
      <c r="E215" s="31" t="s">
        <v>2010</v>
      </c>
      <c r="F215" s="31" t="s">
        <v>2406</v>
      </c>
      <c r="G215" s="34" t="s">
        <v>2248</v>
      </c>
      <c r="H215" s="37" t="s">
        <v>43</v>
      </c>
      <c r="I215" s="6" t="s">
        <v>2013</v>
      </c>
      <c r="J215" s="6" t="s">
        <v>2014</v>
      </c>
      <c r="K215" s="6" t="s">
        <v>2015</v>
      </c>
    </row>
    <row r="216" spans="1:11" ht="15">
      <c r="A216" s="30">
        <v>213</v>
      </c>
      <c r="B216" s="30" t="s">
        <v>2016</v>
      </c>
      <c r="C216" s="30">
        <v>213</v>
      </c>
      <c r="D216" s="34">
        <v>7</v>
      </c>
      <c r="E216" s="31" t="s">
        <v>2017</v>
      </c>
      <c r="F216" s="31" t="s">
        <v>2406</v>
      </c>
      <c r="G216" s="34" t="s">
        <v>2248</v>
      </c>
      <c r="H216" s="37" t="s">
        <v>43</v>
      </c>
      <c r="I216" s="6" t="s">
        <v>369</v>
      </c>
      <c r="J216" s="6" t="s">
        <v>2019</v>
      </c>
      <c r="K216" s="6" t="s">
        <v>2020</v>
      </c>
    </row>
    <row r="217" spans="1:11" ht="15">
      <c r="A217" s="30">
        <v>214</v>
      </c>
      <c r="B217" s="30" t="s">
        <v>2021</v>
      </c>
      <c r="C217" s="30">
        <v>214</v>
      </c>
      <c r="D217" s="34">
        <v>7</v>
      </c>
      <c r="E217" s="31" t="s">
        <v>2022</v>
      </c>
      <c r="F217" s="31" t="s">
        <v>2407</v>
      </c>
      <c r="G217" s="34" t="s">
        <v>2260</v>
      </c>
      <c r="H217" s="37" t="s">
        <v>43</v>
      </c>
      <c r="I217" s="10" t="s">
        <v>2025</v>
      </c>
      <c r="J217" s="6" t="s">
        <v>2026</v>
      </c>
      <c r="K217" s="10" t="s">
        <v>2027</v>
      </c>
    </row>
    <row r="218" spans="1:11" ht="15">
      <c r="A218" s="30">
        <v>215</v>
      </c>
      <c r="B218" s="30" t="s">
        <v>2028</v>
      </c>
      <c r="C218" s="30">
        <v>215</v>
      </c>
      <c r="D218" s="34">
        <v>7</v>
      </c>
      <c r="E218" s="31" t="s">
        <v>2029</v>
      </c>
      <c r="F218" s="31" t="s">
        <v>2408</v>
      </c>
      <c r="G218" s="34" t="s">
        <v>2409</v>
      </c>
      <c r="H218" s="37" t="s">
        <v>43</v>
      </c>
      <c r="I218" s="6" t="s">
        <v>2032</v>
      </c>
      <c r="J218" s="6" t="s">
        <v>2033</v>
      </c>
      <c r="K218" s="6" t="s">
        <v>2034</v>
      </c>
    </row>
    <row r="219" spans="1:11" ht="30">
      <c r="A219" s="30">
        <v>216</v>
      </c>
      <c r="B219" s="30" t="s">
        <v>2035</v>
      </c>
      <c r="C219" s="30">
        <v>216</v>
      </c>
      <c r="D219" s="34">
        <v>7</v>
      </c>
      <c r="E219" s="31" t="s">
        <v>2036</v>
      </c>
      <c r="F219" s="31" t="s">
        <v>2410</v>
      </c>
      <c r="G219" s="34" t="s">
        <v>2411</v>
      </c>
      <c r="H219" s="37" t="s">
        <v>43</v>
      </c>
      <c r="I219" s="6" t="s">
        <v>2039</v>
      </c>
      <c r="J219" s="6" t="s">
        <v>2040</v>
      </c>
      <c r="K219" s="6" t="s">
        <v>2041</v>
      </c>
    </row>
    <row r="220" spans="1:11" ht="30">
      <c r="A220" s="30">
        <v>217</v>
      </c>
      <c r="B220" s="30" t="s">
        <v>2042</v>
      </c>
      <c r="C220" s="30">
        <v>217</v>
      </c>
      <c r="D220" s="34">
        <v>7</v>
      </c>
      <c r="E220" s="31" t="s">
        <v>2043</v>
      </c>
      <c r="F220" s="31" t="s">
        <v>2412</v>
      </c>
      <c r="G220" s="34" t="s">
        <v>2411</v>
      </c>
      <c r="H220" s="37" t="s">
        <v>43</v>
      </c>
      <c r="I220" s="6" t="s">
        <v>2046</v>
      </c>
      <c r="J220" s="6" t="s">
        <v>2047</v>
      </c>
      <c r="K220" s="6" t="s">
        <v>2048</v>
      </c>
    </row>
    <row r="221" spans="1:11" ht="15">
      <c r="A221" s="30">
        <v>218</v>
      </c>
      <c r="B221" s="30" t="s">
        <v>2049</v>
      </c>
      <c r="C221" s="30">
        <v>218</v>
      </c>
      <c r="D221" s="34">
        <v>5</v>
      </c>
      <c r="E221" s="31" t="s">
        <v>2050</v>
      </c>
      <c r="F221" s="31" t="s">
        <v>2413</v>
      </c>
      <c r="G221" s="34" t="s">
        <v>2414</v>
      </c>
      <c r="H221" s="37" t="s">
        <v>103</v>
      </c>
      <c r="I221" s="6" t="s">
        <v>2053</v>
      </c>
      <c r="J221" s="6" t="s">
        <v>2054</v>
      </c>
      <c r="K221" s="6" t="s">
        <v>2055</v>
      </c>
    </row>
    <row r="222" spans="1:11" ht="30">
      <c r="A222" s="30">
        <v>219</v>
      </c>
      <c r="B222" s="34" t="s">
        <v>2042</v>
      </c>
      <c r="C222" s="30">
        <v>219</v>
      </c>
      <c r="D222" s="34">
        <v>7</v>
      </c>
      <c r="E222" s="35" t="s">
        <v>2043</v>
      </c>
      <c r="F222" s="35" t="s">
        <v>2412</v>
      </c>
      <c r="G222" s="34" t="s">
        <v>2411</v>
      </c>
      <c r="H222" s="40" t="s">
        <v>43</v>
      </c>
      <c r="I222" s="16" t="s">
        <v>2046</v>
      </c>
      <c r="J222" s="16" t="s">
        <v>2047</v>
      </c>
      <c r="K222" s="16" t="s">
        <v>2048</v>
      </c>
    </row>
    <row r="223" spans="1:11" ht="15">
      <c r="A223" s="30">
        <v>220</v>
      </c>
      <c r="B223" s="34" t="s">
        <v>2049</v>
      </c>
      <c r="C223" s="30">
        <v>220</v>
      </c>
      <c r="D223" s="34">
        <v>5</v>
      </c>
      <c r="E223" s="35" t="s">
        <v>2050</v>
      </c>
      <c r="F223" s="35" t="s">
        <v>2413</v>
      </c>
      <c r="G223" s="34" t="s">
        <v>2414</v>
      </c>
      <c r="H223" s="40" t="s">
        <v>103</v>
      </c>
      <c r="I223" s="16" t="s">
        <v>2053</v>
      </c>
      <c r="J223" s="16" t="s">
        <v>2054</v>
      </c>
      <c r="K223" s="16" t="s">
        <v>2055</v>
      </c>
    </row>
    <row r="233" spans="10:10">
      <c r="J233" s="24"/>
    </row>
    <row r="239" spans="10:10">
      <c r="J239" s="24"/>
    </row>
    <row r="244" spans="8:9">
      <c r="H244" s="26" t="s">
        <v>2058</v>
      </c>
    </row>
    <row r="249" spans="8:9">
      <c r="I249" s="12"/>
    </row>
    <row r="250" spans="8:9">
      <c r="I250" s="12"/>
    </row>
    <row r="251" spans="8:9">
      <c r="I251" s="12"/>
    </row>
    <row r="252" spans="8:9">
      <c r="I252" s="12"/>
    </row>
    <row r="253" spans="8:9">
      <c r="I253" s="12"/>
    </row>
  </sheetData>
  <hyperlinks>
    <hyperlink ref="K222" r:id="rId1" xr:uid="{A9A4CBB0-4FC7-2948-A2C5-5DB0127B207F}"/>
    <hyperlink ref="K223" r:id="rId2" xr:uid="{0AC4DF59-7614-C941-9EB9-92DC15E6DFF8}"/>
    <hyperlink ref="K7" r:id="rId3" display="savyo.markus@butikskontakt.se" xr:uid="{1C31E9C3-9883-CD4C-98FF-6E1F80DAC395}"/>
    <hyperlink ref="K8" r:id="rId4" xr:uid="{62EAE8FC-1015-E84C-B25C-A6EF22903343}"/>
    <hyperlink ref="K10" r:id="rId5" xr:uid="{45F5FC63-BBA7-7A4B-9BE3-2988B2DB8414}"/>
    <hyperlink ref="K11" r:id="rId6" xr:uid="{19AEEA34-21AE-8149-BAE0-3C8CE93FB46A}"/>
    <hyperlink ref="K12" r:id="rId7" xr:uid="{4C65CAF6-113A-424D-A550-EE9AD5D5C4EE}"/>
    <hyperlink ref="K16" r:id="rId8" xr:uid="{579FFBE5-C7E4-5443-9430-266C7C97ACB8}"/>
    <hyperlink ref="K18" r:id="rId9" xr:uid="{BDCBE132-8FED-6244-8B9C-9A843404979B}"/>
    <hyperlink ref="K19" r:id="rId10" xr:uid="{8D1C5BE4-A254-6C4C-901A-00A36B338F97}"/>
    <hyperlink ref="K20" r:id="rId11" xr:uid="{B182FF5F-9B19-6146-AC23-5AE2F3661E7B}"/>
    <hyperlink ref="K21" r:id="rId12" xr:uid="{142B4B52-2A3D-034E-B607-2BBAC3652260}"/>
    <hyperlink ref="K22" r:id="rId13" xr:uid="{5BAE31E0-463E-6342-9470-9ADF286BDB15}"/>
    <hyperlink ref="K23" r:id="rId14" xr:uid="{F7A97DB0-AFC6-9B42-A203-43436ABF24B0}"/>
    <hyperlink ref="K24" r:id="rId15" xr:uid="{B0A46F9D-A593-2E4A-AFA2-5260F5F6E9E0}"/>
    <hyperlink ref="K26" r:id="rId16" xr:uid="{DB841C1F-77E1-0B4E-BADC-C3A12A9B2141}"/>
    <hyperlink ref="K34" r:id="rId17" xr:uid="{4229F88E-3D2E-734D-BCFA-264F224FF131}"/>
    <hyperlink ref="K35" r:id="rId18" xr:uid="{40A54158-0355-D14F-80AA-719BA5985D8A}"/>
    <hyperlink ref="K36" r:id="rId19" xr:uid="{ADE6750E-EF02-5F4E-BBB2-3059772DB872}"/>
    <hyperlink ref="K37" r:id="rId20" xr:uid="{D213F696-C617-234A-AC05-1154D5629794}"/>
    <hyperlink ref="K38" r:id="rId21" xr:uid="{912847DF-6C46-7543-96BB-A3942ACAF152}"/>
    <hyperlink ref="K39" r:id="rId22" display="stephan@affarsbyggarna.se;anders@affarsbyggarna.se" xr:uid="{010C6645-C12E-E749-84AF-D95CA7408FD0}"/>
    <hyperlink ref="K41" r:id="rId23" display="annika.pantzar@hemkop.se" xr:uid="{FFF0CC19-2223-5740-9E5C-47ECF9A487E9}"/>
    <hyperlink ref="K42" r:id="rId24" display="sara.gustafsson@hemkop.se" xr:uid="{CDA13127-6B8B-5244-B4F1-E77E0B6F8987}"/>
    <hyperlink ref="K46" r:id="rId25" xr:uid="{7CB5C0C3-1EC4-F84A-B200-1D6D740E1221}"/>
    <hyperlink ref="K51" r:id="rId26" display="mikael.pettersson@hemkop.se" xr:uid="{95DF853F-D965-9649-9E62-5484D33AB917}"/>
    <hyperlink ref="K53" r:id="rId27" display="krister.blom@hemkop.se" xr:uid="{53D14078-13B5-934B-A52F-2B465CBB1203}"/>
    <hyperlink ref="K54" r:id="rId28" display="raine.de.boer@hemkop.se" xr:uid="{35451E2D-2CE7-CF4B-8E11-168ED476DA18}"/>
    <hyperlink ref="K55" r:id="rId29" xr:uid="{6CEBBA36-91DD-0A44-9BF4-B068D10D225E}"/>
    <hyperlink ref="K56" r:id="rId30" xr:uid="{F986B3AC-7B5E-5C49-8067-9F11D40B5D86}"/>
    <hyperlink ref="K57" r:id="rId31" display="jorgen.westman@hemkop.se" xr:uid="{FB76B11A-9C9C-DA44-9534-E3FB119DE796}"/>
    <hyperlink ref="K59" r:id="rId32" xr:uid="{D1B4FDFB-7ABE-5440-9513-5FAF12B70C75}"/>
    <hyperlink ref="K60" r:id="rId33" xr:uid="{7F232239-4B08-3D45-B9A1-A4671B3B2972}"/>
    <hyperlink ref="K61" r:id="rId34" display="terese.awen@hemkop.se" xr:uid="{15A6BA14-B6E9-6743-A67A-B1C83BD1A188}"/>
    <hyperlink ref="K62" r:id="rId35" xr:uid="{B7BF78E4-4C10-C146-9BE1-F4B8DBAA1916}"/>
    <hyperlink ref="K63" r:id="rId36" xr:uid="{30C04052-682E-C64C-8FAA-0E10716156CD}"/>
    <hyperlink ref="K70" r:id="rId37" display="daniel.moberg@hemkop.se" xr:uid="{DED9A609-2BED-2E46-8E47-53B301937A44}"/>
    <hyperlink ref="K78" r:id="rId38" xr:uid="{D0C2F09D-5015-AD47-B9A8-1B8DA610CC47}"/>
    <hyperlink ref="K79" r:id="rId39" xr:uid="{0A1BCE27-A345-624C-88DA-A40AC11E9BA7}"/>
    <hyperlink ref="K81" r:id="rId40" xr:uid="{ED9CFB8E-F0FC-7946-9DBB-715A59D58846}"/>
    <hyperlink ref="K83" r:id="rId41" xr:uid="{1A180575-FBC2-C14F-9819-29CC64519906}"/>
    <hyperlink ref="K84" r:id="rId42" xr:uid="{4B6BDDC3-3CB3-A248-B1AB-1875AF101D2C}"/>
    <hyperlink ref="K87" r:id="rId43" xr:uid="{23972026-AF33-E146-A63C-B46F11EA06B6}"/>
    <hyperlink ref="K92" r:id="rId44" xr:uid="{51B3A9CB-A5B6-BE41-8C77-674BCD520959}"/>
    <hyperlink ref="K93" r:id="rId45" xr:uid="{83D2DB96-476D-5442-8066-0BCDF7F0FB95}"/>
    <hyperlink ref="K95" r:id="rId46" display="eva-lena.nilsson@hemkop.se" xr:uid="{32454ABD-D406-6241-BF01-C313E773EB18}"/>
    <hyperlink ref="K97" r:id="rId47" xr:uid="{051C4412-FAC7-FD46-84B8-5F7EB6AAF3DF}"/>
    <hyperlink ref="K98" r:id="rId48" xr:uid="{3AF1CE55-6656-534A-8FBD-DD4A9F1BD974}"/>
    <hyperlink ref="K102" r:id="rId49" xr:uid="{D6C7EB1C-628B-AC44-882C-F9184A0CE0CB}"/>
    <hyperlink ref="I103" r:id="rId50" display="Douglas.liljekrantz@hemkop.se" xr:uid="{9715A4BC-2F98-1645-AE40-266B1F2B0153}"/>
    <hyperlink ref="K105" r:id="rId51" display="jakob.hofverberg@hemkop.se" xr:uid="{E4876234-E20C-B949-83B3-A1844DB071FD}"/>
    <hyperlink ref="K114" r:id="rId52" xr:uid="{7B4F1EFB-DA0A-C046-A36D-B792F01686AF}"/>
    <hyperlink ref="K116" r:id="rId53" xr:uid="{828D2C5D-9374-DB4B-900D-BAEB2EABC2F8}"/>
    <hyperlink ref="K117" r:id="rId54" xr:uid="{0A0FD2B2-5EFF-F749-A1DF-9500E8D52F43}"/>
    <hyperlink ref="K121" r:id="rId55" display="jimmy.wolffberg@hemkop.se" xr:uid="{E8B9746A-A188-EE46-B96B-D065089D9851}"/>
    <hyperlink ref="K123" r:id="rId56" xr:uid="{B80B6B24-0FB7-5B42-BA18-3B49184CD580}"/>
    <hyperlink ref="K128" r:id="rId57" xr:uid="{81D23908-EF18-CA45-A7F0-DB785E627FBB}"/>
    <hyperlink ref="K135" r:id="rId58" xr:uid="{3F6E381D-3149-4944-B4EA-8F9F1ED353BA}"/>
    <hyperlink ref="K136" r:id="rId59" xr:uid="{EF48726E-C3C2-D64D-B906-1663CFD7BEBB}"/>
    <hyperlink ref="K137" r:id="rId60" display="jeanette.sjostrom@hemkop.se" xr:uid="{AACB14C4-B4F2-3743-BFF6-5C2F31347C49}"/>
    <hyperlink ref="K138" r:id="rId61" xr:uid="{D8F3D024-A849-C546-A23A-7181D5386C8F}"/>
    <hyperlink ref="K141" r:id="rId62" xr:uid="{E3479D45-2207-E24D-952E-646DBCC1A031}"/>
    <hyperlink ref="K142" r:id="rId63" xr:uid="{F1566D6A-8EA4-1946-AD6A-3EF27DAA3DB8}"/>
    <hyperlink ref="K143" r:id="rId64" xr:uid="{32AA9F3F-FC22-B141-B207-A2D596237880}"/>
    <hyperlink ref="K144" r:id="rId65" display="stephan@affarsbyggarna.se;anders@affarsbyggarna.se" xr:uid="{31207F90-1997-BD4C-9A9F-6F04EBE933BA}"/>
    <hyperlink ref="K145" r:id="rId66" xr:uid="{A7225FFA-E597-2346-B709-279575174811}"/>
    <hyperlink ref="K146" r:id="rId67" xr:uid="{FADA2507-B99C-1B44-9E58-27676E6AC4AD}"/>
    <hyperlink ref="K148" r:id="rId68" xr:uid="{F3D119B1-6D1D-EA46-B2E4-FF30AA9811B9}"/>
    <hyperlink ref="K149" r:id="rId69" xr:uid="{34A6BC13-2BBB-F84A-941C-81C3A4A1FED8}"/>
    <hyperlink ref="K150" r:id="rId70" xr:uid="{BB933D11-0836-0643-9FBE-748A2EBC163A}"/>
    <hyperlink ref="K151" r:id="rId71" xr:uid="{AE89486F-6225-6E49-8E6C-3494B0E854C6}"/>
    <hyperlink ref="K152" r:id="rId72" xr:uid="{015B5CD2-B6BB-F14E-B182-C39102735597}"/>
    <hyperlink ref="K153" r:id="rId73" xr:uid="{4B4F4028-164A-BA43-AF06-3D8B3A7E1BB3}"/>
    <hyperlink ref="K154" r:id="rId74" xr:uid="{B4C80D19-7F03-5746-86CC-B74B872FA5AB}"/>
    <hyperlink ref="K155" r:id="rId75" xr:uid="{AEC1D142-365B-F741-826B-778334D81BE6}"/>
    <hyperlink ref="K157" r:id="rId76" display="camilla.lindberg@hemkop.se" xr:uid="{F75D418C-5384-C94F-8029-03CACDB3134C}"/>
    <hyperlink ref="K159" r:id="rId77" display="stephanie.bondesson.ferenac@hemkop.se" xr:uid="{D6F66F6E-28DB-794F-98A9-BA8B3BE47E65}"/>
    <hyperlink ref="K162" r:id="rId78" display="tiina.koivisto@hemkop.se" xr:uid="{8FB09AC9-338D-854B-AFF7-F60AB6FF4107}"/>
    <hyperlink ref="K163" r:id="rId79" xr:uid="{0DED86CA-156F-534B-80C8-55BE104BBD4C}"/>
    <hyperlink ref="K164" r:id="rId80" display="mikael.ceder.brolin@hemkop.se" xr:uid="{9EFC1B4B-D78E-084E-ADE4-366210CF3809}"/>
    <hyperlink ref="K166" r:id="rId81" xr:uid="{8E12DFCC-268D-E14F-A1F8-33DB49C3CF98}"/>
    <hyperlink ref="K168" r:id="rId82" xr:uid="{3478C450-CB92-5A49-9E11-5D8AFA76A5EC}"/>
    <hyperlink ref="K170" r:id="rId83" display="mailto:erik.pihl@hemkop.se" xr:uid="{674AC06A-B8D1-4D4C-B058-5E7ED64A1772}"/>
    <hyperlink ref="K172" r:id="rId84" display="veronica.wahlqvist@hemkop.se" xr:uid="{2C8FC886-6C15-094A-BDD7-FCCBBA8DBDD5}"/>
    <hyperlink ref="K173" r:id="rId85" xr:uid="{8288A7E2-5AC8-EC4D-8239-2F855E8EAB3A}"/>
    <hyperlink ref="K174" r:id="rId86" xr:uid="{486A7834-4A98-A647-BF5D-B7EDBD860E29}"/>
    <hyperlink ref="K175" r:id="rId87" xr:uid="{A4152A12-4235-444E-8DFD-0B808CB20013}"/>
    <hyperlink ref="K180" r:id="rId88" xr:uid="{36B7A62A-B915-464A-8F37-9362CFC03D44}"/>
    <hyperlink ref="K182" r:id="rId89" display="martin.lundstrom@hemkop.se" xr:uid="{FD23A72F-CC00-894A-B90F-2CED407868B2}"/>
    <hyperlink ref="K185" r:id="rId90" xr:uid="{F9CD06CE-28D8-6643-B9E7-A739AE66579F}"/>
    <hyperlink ref="K187" r:id="rId91" xr:uid="{40B676C5-734F-7944-AB81-CC0D0BE79753}"/>
    <hyperlink ref="K188" r:id="rId92" xr:uid="{AAE41870-EA67-A54F-BB63-14603E315CE5}"/>
    <hyperlink ref="K190" r:id="rId93" xr:uid="{C62154F7-3636-7043-815D-95E65BFAD400}"/>
    <hyperlink ref="K192" r:id="rId94" xr:uid="{43B4E99A-EB10-DE42-B5E4-A72D96DCC396}"/>
    <hyperlink ref="K193" r:id="rId95" display="amera.becirovic@hemkop.se" xr:uid="{A948E167-2CB7-3243-BB95-411170ECF338}"/>
    <hyperlink ref="K195" r:id="rId96" xr:uid="{85606EEE-9291-2C48-868F-4327F5EA99BF}"/>
    <hyperlink ref="K198" r:id="rId97" xr:uid="{C9927AB3-3686-0045-BE85-7B32CC8E97EF}"/>
    <hyperlink ref="K199" r:id="rId98" xr:uid="{1F85D0A0-91B6-CB4D-9351-27B1EE40585A}"/>
    <hyperlink ref="K200" r:id="rId99" xr:uid="{9AF6F887-4AFC-F142-BC8C-D70AC2F355A6}"/>
    <hyperlink ref="K203" r:id="rId100" display="jimmy.fagelqvist@hemkop.se" xr:uid="{A3982080-9C63-8044-8862-DCF331D250C1}"/>
    <hyperlink ref="K204" r:id="rId101" xr:uid="{76ADE057-238F-F041-B5EF-D3D9D9D85263}"/>
    <hyperlink ref="K205" r:id="rId102" xr:uid="{AF7C39C2-3279-2146-9318-F8F632C8CEBA}"/>
    <hyperlink ref="K208" r:id="rId103" xr:uid="{BB93DCB6-26E0-1F49-AEC5-2B5B21A37A92}"/>
    <hyperlink ref="K209" r:id="rId104" xr:uid="{7EA5D5BB-0F38-FB44-8AE7-D7200125D5AE}"/>
    <hyperlink ref="K211" r:id="rId105" display="maria.agren@hemkop.se" xr:uid="{088462AB-0A5F-124D-8C20-3AFA5A8987F4}"/>
    <hyperlink ref="K212" r:id="rId106" xr:uid="{CBDA3AF1-C6A6-D443-9E31-C5C0B19A70D8}"/>
    <hyperlink ref="K215" r:id="rId107" xr:uid="{863CC794-7402-544A-866D-F3E8E3D4AD9F}"/>
    <hyperlink ref="K216" r:id="rId108" display="arvid.bramby@hemkop.se" xr:uid="{2808F858-710F-7B4A-8907-531C456EDCFB}"/>
    <hyperlink ref="K217" r:id="rId109" xr:uid="{C62B00DE-F88E-4A4A-9C29-14409F45367D}"/>
    <hyperlink ref="K218" r:id="rId110" xr:uid="{76DDBAF5-7AC1-7741-A88C-6D9119941022}"/>
    <hyperlink ref="K219" r:id="rId111" display="sofie.nilsson1@hemkop.se" xr:uid="{85D4327C-D385-CA44-8E50-AC85F93B99AA}"/>
    <hyperlink ref="K220" r:id="rId112" xr:uid="{0CA5C3F3-A19E-F147-8F87-1D5CC28AB181}"/>
    <hyperlink ref="K221" r:id="rId113" xr:uid="{BFA39A76-1FD8-F04A-A746-BD1129FB309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1D51-7083-1046-8E1F-544D62361008}">
  <dimension ref="A1:G662"/>
  <sheetViews>
    <sheetView zoomScale="183" workbookViewId="0">
      <selection activeCell="C9" sqref="C9"/>
    </sheetView>
  </sheetViews>
  <sheetFormatPr baseColWidth="10" defaultRowHeight="16"/>
  <cols>
    <col min="1" max="1" width="41.83203125" style="46" bestFit="1" customWidth="1"/>
    <col min="2" max="2" width="59" style="51" bestFit="1" customWidth="1"/>
    <col min="3" max="3" width="19.6640625" style="46" bestFit="1" customWidth="1"/>
    <col min="4" max="4" width="9" style="45" bestFit="1" customWidth="1"/>
    <col min="5" max="5" width="10.83203125" style="46"/>
    <col min="6" max="6" width="16.1640625" style="46" bestFit="1" customWidth="1"/>
    <col min="7" max="16384" width="10.83203125" style="46"/>
  </cols>
  <sheetData>
    <row r="1" spans="1:7">
      <c r="A1" s="42" t="s">
        <v>2416</v>
      </c>
      <c r="B1" s="49"/>
      <c r="C1" s="44"/>
      <c r="D1" s="45" t="s">
        <v>2417</v>
      </c>
    </row>
    <row r="2" spans="1:7">
      <c r="A2" s="42"/>
      <c r="B2" s="49" t="s">
        <v>2465</v>
      </c>
      <c r="C2" s="44"/>
    </row>
    <row r="3" spans="1:7">
      <c r="A3" s="42" t="s">
        <v>2059</v>
      </c>
      <c r="B3" s="49" t="s">
        <v>2464</v>
      </c>
      <c r="C3" s="47" t="s">
        <v>2060</v>
      </c>
      <c r="D3" s="48" t="s">
        <v>2444</v>
      </c>
      <c r="E3" s="46" t="s">
        <v>2463</v>
      </c>
      <c r="F3" s="46" t="s">
        <v>2466</v>
      </c>
      <c r="G3" s="46" t="s">
        <v>2467</v>
      </c>
    </row>
    <row r="4" spans="1:7">
      <c r="A4" s="43" t="s">
        <v>2460</v>
      </c>
      <c r="B4" s="50" t="str">
        <f>CONCATENATE(VLOOKUP(C4,'Butiksobjekt steg 2'!A:B,2,FALSE)," ",A4)</f>
        <v>Associerad Börjes Tingsryd Pantkärl</v>
      </c>
      <c r="C4" s="43">
        <v>1</v>
      </c>
      <c r="D4" s="45">
        <f t="shared" ref="D4:D67" ca="1" si="0">RANDBETWEEN(8,53)</f>
        <v>52</v>
      </c>
      <c r="E4" s="46">
        <f t="shared" ref="E4:E67" ca="1" si="1">RANDBETWEEN(1,5)</f>
        <v>2</v>
      </c>
      <c r="F4" s="46" t="str">
        <f>A4</f>
        <v>Pantkärl</v>
      </c>
      <c r="G4" s="46" t="s">
        <v>2468</v>
      </c>
    </row>
    <row r="5" spans="1:7">
      <c r="A5" s="43" t="s">
        <v>2461</v>
      </c>
      <c r="B5" s="50" t="str">
        <f>CONCATENATE(VLOOKUP(C5,'Butiksobjekt steg 2'!A:B,2,FALSE)," ",A5)</f>
        <v>Associerad Börjes Tingsryd Matavfallskärl</v>
      </c>
      <c r="C5" s="43">
        <v>1</v>
      </c>
      <c r="D5" s="45">
        <f t="shared" ca="1" si="0"/>
        <v>27</v>
      </c>
      <c r="E5" s="46">
        <f t="shared" ca="1" si="1"/>
        <v>1</v>
      </c>
      <c r="F5" s="46" t="str">
        <f t="shared" ref="F5:F68" si="2">A5</f>
        <v>Matavfallskärl</v>
      </c>
      <c r="G5" s="46" t="s">
        <v>2469</v>
      </c>
    </row>
    <row r="6" spans="1:7">
      <c r="A6" s="43" t="s">
        <v>2460</v>
      </c>
      <c r="B6" s="50" t="str">
        <f>CONCATENATE(VLOOKUP(C6,'Butiksobjekt steg 2'!A:B,2,FALSE)," ",A6)</f>
        <v>Associerad Extra Mjällby Listerlandet Pantkärl</v>
      </c>
      <c r="C6" s="43">
        <v>2</v>
      </c>
      <c r="D6" s="45">
        <f t="shared" ca="1" si="0"/>
        <v>8</v>
      </c>
      <c r="E6" s="46">
        <f t="shared" ca="1" si="1"/>
        <v>4</v>
      </c>
      <c r="F6" s="46" t="str">
        <f t="shared" si="2"/>
        <v>Pantkärl</v>
      </c>
      <c r="G6" s="46" t="s">
        <v>2470</v>
      </c>
    </row>
    <row r="7" spans="1:7">
      <c r="A7" s="43" t="s">
        <v>2461</v>
      </c>
      <c r="B7" s="50" t="str">
        <f>CONCATENATE(VLOOKUP(C7,'Butiksobjekt steg 2'!A:B,2,FALSE)," ",A7)</f>
        <v>Associerad Extra Mjällby Listerlandet Matavfallskärl</v>
      </c>
      <c r="C7" s="43">
        <v>2</v>
      </c>
      <c r="D7" s="45">
        <f t="shared" ca="1" si="0"/>
        <v>49</v>
      </c>
      <c r="E7" s="46">
        <f t="shared" ca="1" si="1"/>
        <v>3</v>
      </c>
      <c r="F7" s="46" t="str">
        <f t="shared" si="2"/>
        <v>Matavfallskärl</v>
      </c>
      <c r="G7" s="46" t="s">
        <v>2468</v>
      </c>
    </row>
    <row r="8" spans="1:7">
      <c r="A8" s="43" t="s">
        <v>2462</v>
      </c>
      <c r="B8" s="50" t="str">
        <f>CONCATENATE(VLOOKUP(C8,'Butiksobjekt steg 2'!A:B,2,FALSE)," ",A8)</f>
        <v>Associerad Extra Mjällby Listerlandet Kuundvagnsgarage</v>
      </c>
      <c r="C8" s="43">
        <v>2</v>
      </c>
      <c r="D8" s="45">
        <f t="shared" ca="1" si="0"/>
        <v>8</v>
      </c>
      <c r="E8" s="46">
        <f t="shared" ca="1" si="1"/>
        <v>3</v>
      </c>
      <c r="F8" s="46" t="str">
        <f t="shared" si="2"/>
        <v>Kuundvagnsgarage</v>
      </c>
      <c r="G8" s="46" t="s">
        <v>2469</v>
      </c>
    </row>
    <row r="9" spans="1:7">
      <c r="A9" s="43" t="s">
        <v>2460</v>
      </c>
      <c r="B9" s="50" t="str">
        <f>CONCATENATE(VLOOKUP(C9,'Butiksobjekt steg 2'!A:B,2,FALSE)," ",A9)</f>
        <v>Associerad Fittja Matmarknad Norsborg Pantkärl</v>
      </c>
      <c r="C9" s="43">
        <v>3</v>
      </c>
      <c r="D9" s="45">
        <f t="shared" ca="1" si="0"/>
        <v>27</v>
      </c>
      <c r="E9" s="46">
        <f t="shared" ca="1" si="1"/>
        <v>4</v>
      </c>
      <c r="F9" s="46" t="str">
        <f t="shared" si="2"/>
        <v>Pantkärl</v>
      </c>
      <c r="G9" s="46" t="s">
        <v>2470</v>
      </c>
    </row>
    <row r="10" spans="1:7">
      <c r="A10" s="43" t="s">
        <v>2461</v>
      </c>
      <c r="B10" s="50" t="str">
        <f>CONCATENATE(VLOOKUP(C10,'Butiksobjekt steg 2'!A:B,2,FALSE)," ",A10)</f>
        <v>Associerad Fittja Matmarknad Norsborg Matavfallskärl</v>
      </c>
      <c r="C10" s="43">
        <v>3</v>
      </c>
      <c r="D10" s="45">
        <f t="shared" ca="1" si="0"/>
        <v>24</v>
      </c>
      <c r="E10" s="46">
        <f t="shared" ca="1" si="1"/>
        <v>1</v>
      </c>
      <c r="F10" s="46" t="str">
        <f t="shared" si="2"/>
        <v>Matavfallskärl</v>
      </c>
      <c r="G10" s="46" t="s">
        <v>2468</v>
      </c>
    </row>
    <row r="11" spans="1:7">
      <c r="A11" s="43" t="s">
        <v>2462</v>
      </c>
      <c r="B11" s="50" t="str">
        <f>CONCATENATE(VLOOKUP(C11,'Butiksobjekt steg 2'!A:B,2,FALSE)," ",A11)</f>
        <v>Associerad Fittja Matmarknad Norsborg Kuundvagnsgarage</v>
      </c>
      <c r="C11" s="43">
        <v>3</v>
      </c>
      <c r="D11" s="45">
        <f t="shared" ca="1" si="0"/>
        <v>14</v>
      </c>
      <c r="E11" s="46">
        <f t="shared" ca="1" si="1"/>
        <v>3</v>
      </c>
      <c r="F11" s="46" t="str">
        <f t="shared" si="2"/>
        <v>Kuundvagnsgarage</v>
      </c>
      <c r="G11" s="46" t="s">
        <v>2469</v>
      </c>
    </row>
    <row r="12" spans="1:7">
      <c r="A12" s="43" t="s">
        <v>2460</v>
      </c>
      <c r="B12" s="50" t="str">
        <f>CONCATENATE(VLOOKUP(C12,'Butiksobjekt steg 2'!A:B,2,FALSE)," ",A12)</f>
        <v>Associerad Fresha Stockholm Hässelby Pantkärl</v>
      </c>
      <c r="C12" s="43">
        <v>4</v>
      </c>
      <c r="D12" s="45">
        <f t="shared" ca="1" si="0"/>
        <v>27</v>
      </c>
      <c r="E12" s="46">
        <f t="shared" ca="1" si="1"/>
        <v>1</v>
      </c>
      <c r="F12" s="46" t="str">
        <f t="shared" si="2"/>
        <v>Pantkärl</v>
      </c>
      <c r="G12" s="46" t="s">
        <v>2470</v>
      </c>
    </row>
    <row r="13" spans="1:7">
      <c r="A13" s="43" t="s">
        <v>2461</v>
      </c>
      <c r="B13" s="50" t="str">
        <f>CONCATENATE(VLOOKUP(C13,'Butiksobjekt steg 2'!A:B,2,FALSE)," ",A13)</f>
        <v>Associerad Fresha Stockholm Hässelby Matavfallskärl</v>
      </c>
      <c r="C13" s="43">
        <v>4</v>
      </c>
      <c r="D13" s="45">
        <f t="shared" ca="1" si="0"/>
        <v>18</v>
      </c>
      <c r="E13" s="46">
        <f t="shared" ca="1" si="1"/>
        <v>4</v>
      </c>
      <c r="F13" s="46" t="str">
        <f t="shared" si="2"/>
        <v>Matavfallskärl</v>
      </c>
      <c r="G13" s="46" t="s">
        <v>2468</v>
      </c>
    </row>
    <row r="14" spans="1:7">
      <c r="A14" s="43" t="s">
        <v>2462</v>
      </c>
      <c r="B14" s="50" t="str">
        <f>CONCATENATE(VLOOKUP(C14,'Butiksobjekt steg 2'!A:B,2,FALSE)," ",A14)</f>
        <v>Associerad Fresha Stockholm Hässelby Kuundvagnsgarage</v>
      </c>
      <c r="C14" s="43">
        <v>4</v>
      </c>
      <c r="D14" s="45">
        <f t="shared" ca="1" si="0"/>
        <v>37</v>
      </c>
      <c r="E14" s="46">
        <f t="shared" ca="1" si="1"/>
        <v>4</v>
      </c>
      <c r="F14" s="46" t="str">
        <f t="shared" si="2"/>
        <v>Kuundvagnsgarage</v>
      </c>
      <c r="G14" s="46" t="s">
        <v>2469</v>
      </c>
    </row>
    <row r="15" spans="1:7">
      <c r="A15" s="43" t="s">
        <v>2460</v>
      </c>
      <c r="B15" s="50" t="str">
        <f>CONCATENATE(VLOOKUP(C15,'Butiksobjekt steg 2'!A:B,2,FALSE)," ",A15)</f>
        <v>Associerad Hemköp Gråbo Bonum Pantkärl</v>
      </c>
      <c r="C15" s="43">
        <v>5</v>
      </c>
      <c r="D15" s="45">
        <f t="shared" ca="1" si="0"/>
        <v>18</v>
      </c>
      <c r="E15" s="46">
        <f t="shared" ca="1" si="1"/>
        <v>3</v>
      </c>
      <c r="F15" s="46" t="str">
        <f t="shared" si="2"/>
        <v>Pantkärl</v>
      </c>
      <c r="G15" s="46" t="s">
        <v>2470</v>
      </c>
    </row>
    <row r="16" spans="1:7">
      <c r="A16" s="43" t="s">
        <v>2461</v>
      </c>
      <c r="B16" s="50" t="str">
        <f>CONCATENATE(VLOOKUP(C16,'Butiksobjekt steg 2'!A:B,2,FALSE)," ",A16)</f>
        <v>Associerad Hemköp Gråbo Bonum Matavfallskärl</v>
      </c>
      <c r="C16" s="43">
        <v>5</v>
      </c>
      <c r="D16" s="45">
        <f t="shared" ca="1" si="0"/>
        <v>9</v>
      </c>
      <c r="E16" s="46">
        <f t="shared" ca="1" si="1"/>
        <v>2</v>
      </c>
      <c r="F16" s="46" t="str">
        <f t="shared" si="2"/>
        <v>Matavfallskärl</v>
      </c>
      <c r="G16" s="46" t="s">
        <v>2468</v>
      </c>
    </row>
    <row r="17" spans="1:7">
      <c r="A17" s="43" t="s">
        <v>2462</v>
      </c>
      <c r="B17" s="50" t="str">
        <f>CONCATENATE(VLOOKUP(C17,'Butiksobjekt steg 2'!A:B,2,FALSE)," ",A17)</f>
        <v>Associerad Hemköp Gråbo Bonum Kuundvagnsgarage</v>
      </c>
      <c r="C17" s="43">
        <v>5</v>
      </c>
      <c r="D17" s="45">
        <f t="shared" ca="1" si="0"/>
        <v>10</v>
      </c>
      <c r="E17" s="46">
        <f t="shared" ca="1" si="1"/>
        <v>1</v>
      </c>
      <c r="F17" s="46" t="str">
        <f t="shared" si="2"/>
        <v>Kuundvagnsgarage</v>
      </c>
      <c r="G17" s="46" t="s">
        <v>2469</v>
      </c>
    </row>
    <row r="18" spans="1:7">
      <c r="A18" s="43" t="s">
        <v>2460</v>
      </c>
      <c r="B18" s="50" t="str">
        <f>CONCATENATE(VLOOKUP(C18,'Butiksobjekt steg 2'!A:B,2,FALSE)," ",A18)</f>
        <v>Associerad Hovsjö Matcenter Pantkärl</v>
      </c>
      <c r="C18" s="43">
        <v>6</v>
      </c>
      <c r="D18" s="45">
        <f t="shared" ca="1" si="0"/>
        <v>40</v>
      </c>
      <c r="E18" s="46">
        <f t="shared" ca="1" si="1"/>
        <v>4</v>
      </c>
      <c r="F18" s="46" t="str">
        <f t="shared" si="2"/>
        <v>Pantkärl</v>
      </c>
      <c r="G18" s="46" t="s">
        <v>2470</v>
      </c>
    </row>
    <row r="19" spans="1:7">
      <c r="A19" s="43" t="s">
        <v>2461</v>
      </c>
      <c r="B19" s="50" t="str">
        <f>CONCATENATE(VLOOKUP(C19,'Butiksobjekt steg 2'!A:B,2,FALSE)," ",A19)</f>
        <v>Associerad Hovsjö Matcenter Matavfallskärl</v>
      </c>
      <c r="C19" s="43">
        <v>6</v>
      </c>
      <c r="D19" s="45">
        <f t="shared" ca="1" si="0"/>
        <v>32</v>
      </c>
      <c r="E19" s="46">
        <f t="shared" ca="1" si="1"/>
        <v>5</v>
      </c>
      <c r="F19" s="46" t="str">
        <f t="shared" si="2"/>
        <v>Matavfallskärl</v>
      </c>
      <c r="G19" s="46" t="s">
        <v>2468</v>
      </c>
    </row>
    <row r="20" spans="1:7">
      <c r="A20" s="43" t="s">
        <v>2462</v>
      </c>
      <c r="B20" s="50" t="str">
        <f>CONCATENATE(VLOOKUP(C20,'Butiksobjekt steg 2'!A:B,2,FALSE)," ",A20)</f>
        <v>Associerad Hovsjö Matcenter Kuundvagnsgarage</v>
      </c>
      <c r="C20" s="43">
        <v>6</v>
      </c>
      <c r="D20" s="45">
        <f t="shared" ca="1" si="0"/>
        <v>37</v>
      </c>
      <c r="E20" s="46">
        <f t="shared" ca="1" si="1"/>
        <v>3</v>
      </c>
      <c r="F20" s="46" t="str">
        <f t="shared" si="2"/>
        <v>Kuundvagnsgarage</v>
      </c>
      <c r="G20" s="46" t="s">
        <v>2469</v>
      </c>
    </row>
    <row r="21" spans="1:7">
      <c r="A21" s="43" t="s">
        <v>2460</v>
      </c>
      <c r="B21" s="50" t="str">
        <f>CONCATENATE(VLOOKUP(C21,'Butiksobjekt steg 2'!A:B,2,FALSE)," ",A21)</f>
        <v>Associerad Hörby Lågprisaffär Pantkärl</v>
      </c>
      <c r="C21" s="43">
        <v>7</v>
      </c>
      <c r="D21" s="45">
        <f t="shared" ca="1" si="0"/>
        <v>53</v>
      </c>
      <c r="E21" s="46">
        <f t="shared" ca="1" si="1"/>
        <v>5</v>
      </c>
      <c r="F21" s="46" t="str">
        <f t="shared" si="2"/>
        <v>Pantkärl</v>
      </c>
      <c r="G21" s="46" t="s">
        <v>2470</v>
      </c>
    </row>
    <row r="22" spans="1:7">
      <c r="A22" s="43" t="s">
        <v>2461</v>
      </c>
      <c r="B22" s="50" t="str">
        <f>CONCATENATE(VLOOKUP(C22,'Butiksobjekt steg 2'!A:B,2,FALSE)," ",A22)</f>
        <v>Associerad Hörby Lågprisaffär Matavfallskärl</v>
      </c>
      <c r="C22" s="43">
        <v>7</v>
      </c>
      <c r="D22" s="45">
        <f t="shared" ca="1" si="0"/>
        <v>28</v>
      </c>
      <c r="E22" s="46">
        <f t="shared" ca="1" si="1"/>
        <v>2</v>
      </c>
      <c r="F22" s="46" t="str">
        <f t="shared" si="2"/>
        <v>Matavfallskärl</v>
      </c>
      <c r="G22" s="46" t="s">
        <v>2468</v>
      </c>
    </row>
    <row r="23" spans="1:7">
      <c r="A23" s="43" t="s">
        <v>2462</v>
      </c>
      <c r="B23" s="50" t="str">
        <f>CONCATENATE(VLOOKUP(C23,'Butiksobjekt steg 2'!A:B,2,FALSE)," ",A23)</f>
        <v>Associerad Hörby Lågprisaffär Kuundvagnsgarage</v>
      </c>
      <c r="C23" s="43">
        <v>7</v>
      </c>
      <c r="D23" s="45">
        <f t="shared" ca="1" si="0"/>
        <v>41</v>
      </c>
      <c r="E23" s="46">
        <f t="shared" ca="1" si="1"/>
        <v>3</v>
      </c>
      <c r="F23" s="46" t="str">
        <f t="shared" si="2"/>
        <v>Kuundvagnsgarage</v>
      </c>
      <c r="G23" s="46" t="s">
        <v>2469</v>
      </c>
    </row>
    <row r="24" spans="1:7">
      <c r="A24" s="43" t="s">
        <v>2460</v>
      </c>
      <c r="B24" s="50" t="str">
        <f>CONCATENATE(VLOOKUP(C24,'Butiksobjekt steg 2'!A:B,2,FALSE)," ",A24)</f>
        <v>Associerad Ingaröhallen Brunn Pantkärl</v>
      </c>
      <c r="C24" s="43">
        <v>8</v>
      </c>
      <c r="D24" s="45">
        <f t="shared" ca="1" si="0"/>
        <v>34</v>
      </c>
      <c r="E24" s="46">
        <f t="shared" ca="1" si="1"/>
        <v>3</v>
      </c>
      <c r="F24" s="46" t="str">
        <f t="shared" si="2"/>
        <v>Pantkärl</v>
      </c>
      <c r="G24" s="46" t="s">
        <v>2470</v>
      </c>
    </row>
    <row r="25" spans="1:7">
      <c r="A25" s="43" t="s">
        <v>2461</v>
      </c>
      <c r="B25" s="50" t="str">
        <f>CONCATENATE(VLOOKUP(C25,'Butiksobjekt steg 2'!A:B,2,FALSE)," ",A25)</f>
        <v>Associerad Ingaröhallen Brunn Matavfallskärl</v>
      </c>
      <c r="C25" s="43">
        <v>8</v>
      </c>
      <c r="D25" s="45">
        <f t="shared" ca="1" si="0"/>
        <v>15</v>
      </c>
      <c r="E25" s="46">
        <f t="shared" ca="1" si="1"/>
        <v>5</v>
      </c>
      <c r="F25" s="46" t="str">
        <f t="shared" si="2"/>
        <v>Matavfallskärl</v>
      </c>
      <c r="G25" s="46" t="s">
        <v>2468</v>
      </c>
    </row>
    <row r="26" spans="1:7">
      <c r="A26" s="43" t="s">
        <v>2462</v>
      </c>
      <c r="B26" s="50" t="str">
        <f>CONCATENATE(VLOOKUP(C26,'Butiksobjekt steg 2'!A:B,2,FALSE)," ",A26)</f>
        <v>Associerad Ingaröhallen Brunn Kuundvagnsgarage</v>
      </c>
      <c r="C26" s="43">
        <v>8</v>
      </c>
      <c r="D26" s="45">
        <f t="shared" ca="1" si="0"/>
        <v>47</v>
      </c>
      <c r="E26" s="46">
        <f t="shared" ca="1" si="1"/>
        <v>5</v>
      </c>
      <c r="F26" s="46" t="str">
        <f t="shared" si="2"/>
        <v>Kuundvagnsgarage</v>
      </c>
      <c r="G26" s="46" t="s">
        <v>2469</v>
      </c>
    </row>
    <row r="27" spans="1:7">
      <c r="A27" s="43" t="s">
        <v>2460</v>
      </c>
      <c r="B27" s="50" t="str">
        <f>CONCATENATE(VLOOKUP(C27,'Butiksobjekt steg 2'!A:B,2,FALSE)," ",A27)</f>
        <v>Associerad Lågprisvaruhuset MEJK Lindesberg Pantkärl</v>
      </c>
      <c r="C27" s="43">
        <v>9</v>
      </c>
      <c r="D27" s="45">
        <f t="shared" ca="1" si="0"/>
        <v>16</v>
      </c>
      <c r="E27" s="46">
        <f t="shared" ca="1" si="1"/>
        <v>2</v>
      </c>
      <c r="F27" s="46" t="str">
        <f t="shared" si="2"/>
        <v>Pantkärl</v>
      </c>
      <c r="G27" s="46" t="s">
        <v>2470</v>
      </c>
    </row>
    <row r="28" spans="1:7">
      <c r="A28" s="43" t="s">
        <v>2461</v>
      </c>
      <c r="B28" s="50" t="str">
        <f>CONCATENATE(VLOOKUP(C28,'Butiksobjekt steg 2'!A:B,2,FALSE)," ",A28)</f>
        <v>Associerad Lågprisvaruhuset MEJK Lindesberg Matavfallskärl</v>
      </c>
      <c r="C28" s="43">
        <v>9</v>
      </c>
      <c r="D28" s="45">
        <f t="shared" ca="1" si="0"/>
        <v>35</v>
      </c>
      <c r="E28" s="46">
        <f t="shared" ca="1" si="1"/>
        <v>5</v>
      </c>
      <c r="F28" s="46" t="str">
        <f t="shared" si="2"/>
        <v>Matavfallskärl</v>
      </c>
      <c r="G28" s="46" t="s">
        <v>2468</v>
      </c>
    </row>
    <row r="29" spans="1:7">
      <c r="A29" s="43" t="s">
        <v>2462</v>
      </c>
      <c r="B29" s="50" t="str">
        <f>CONCATENATE(VLOOKUP(C29,'Butiksobjekt steg 2'!A:B,2,FALSE)," ",A29)</f>
        <v>Associerad Lågprisvaruhuset MEJK Lindesberg Kuundvagnsgarage</v>
      </c>
      <c r="C29" s="43">
        <v>9</v>
      </c>
      <c r="D29" s="45">
        <f t="shared" ca="1" si="0"/>
        <v>39</v>
      </c>
      <c r="E29" s="46">
        <f t="shared" ca="1" si="1"/>
        <v>3</v>
      </c>
      <c r="F29" s="46" t="str">
        <f t="shared" si="2"/>
        <v>Kuundvagnsgarage</v>
      </c>
      <c r="G29" s="46" t="s">
        <v>2469</v>
      </c>
    </row>
    <row r="30" spans="1:7">
      <c r="A30" s="43" t="s">
        <v>2460</v>
      </c>
      <c r="B30" s="50" t="str">
        <f>CONCATENATE(VLOOKUP(C30,'Butiksobjekt steg 2'!A:B,2,FALSE)," ",A30)</f>
        <v>Associerad Matköp Tumba Storvreten Pantkärl</v>
      </c>
      <c r="C30" s="43">
        <v>10</v>
      </c>
      <c r="D30" s="45">
        <f t="shared" ca="1" si="0"/>
        <v>36</v>
      </c>
      <c r="E30" s="46">
        <f t="shared" ca="1" si="1"/>
        <v>4</v>
      </c>
      <c r="F30" s="46" t="str">
        <f t="shared" si="2"/>
        <v>Pantkärl</v>
      </c>
      <c r="G30" s="46" t="s">
        <v>2470</v>
      </c>
    </row>
    <row r="31" spans="1:7">
      <c r="A31" s="43" t="s">
        <v>2461</v>
      </c>
      <c r="B31" s="50" t="str">
        <f>CONCATENATE(VLOOKUP(C31,'Butiksobjekt steg 2'!A:B,2,FALSE)," ",A31)</f>
        <v>Associerad Matköp Tumba Storvreten Matavfallskärl</v>
      </c>
      <c r="C31" s="43">
        <v>10</v>
      </c>
      <c r="D31" s="45">
        <f t="shared" ca="1" si="0"/>
        <v>27</v>
      </c>
      <c r="E31" s="46">
        <f t="shared" ca="1" si="1"/>
        <v>5</v>
      </c>
      <c r="F31" s="46" t="str">
        <f t="shared" si="2"/>
        <v>Matavfallskärl</v>
      </c>
      <c r="G31" s="46" t="s">
        <v>2468</v>
      </c>
    </row>
    <row r="32" spans="1:7">
      <c r="A32" s="43" t="s">
        <v>2462</v>
      </c>
      <c r="B32" s="50" t="str">
        <f>CONCATENATE(VLOOKUP(C32,'Butiksobjekt steg 2'!A:B,2,FALSE)," ",A32)</f>
        <v>Associerad Matköp Tumba Storvreten Kuundvagnsgarage</v>
      </c>
      <c r="C32" s="43">
        <v>10</v>
      </c>
      <c r="D32" s="45">
        <f t="shared" ca="1" si="0"/>
        <v>11</v>
      </c>
      <c r="E32" s="46">
        <f t="shared" ca="1" si="1"/>
        <v>2</v>
      </c>
      <c r="F32" s="46" t="str">
        <f t="shared" si="2"/>
        <v>Kuundvagnsgarage</v>
      </c>
      <c r="G32" s="46" t="s">
        <v>2469</v>
      </c>
    </row>
    <row r="33" spans="1:7">
      <c r="A33" s="43" t="s">
        <v>2460</v>
      </c>
      <c r="B33" s="50" t="str">
        <f>CONCATENATE(VLOOKUP(C33,'Butiksobjekt steg 2'!A:B,2,FALSE)," ",A33)</f>
        <v>Associerad Matvärlden Kungens Kurva Pantkärl</v>
      </c>
      <c r="C33" s="43">
        <v>11</v>
      </c>
      <c r="D33" s="45">
        <f t="shared" ca="1" si="0"/>
        <v>14</v>
      </c>
      <c r="E33" s="46">
        <f t="shared" ca="1" si="1"/>
        <v>1</v>
      </c>
      <c r="F33" s="46" t="str">
        <f t="shared" si="2"/>
        <v>Pantkärl</v>
      </c>
      <c r="G33" s="46" t="s">
        <v>2470</v>
      </c>
    </row>
    <row r="34" spans="1:7">
      <c r="A34" s="43" t="s">
        <v>2461</v>
      </c>
      <c r="B34" s="50" t="str">
        <f>CONCATENATE(VLOOKUP(C34,'Butiksobjekt steg 2'!A:B,2,FALSE)," ",A34)</f>
        <v>Associerad Matvärlden Kungens Kurva Matavfallskärl</v>
      </c>
      <c r="C34" s="43">
        <v>11</v>
      </c>
      <c r="D34" s="45">
        <f t="shared" ca="1" si="0"/>
        <v>38</v>
      </c>
      <c r="E34" s="46">
        <f t="shared" ca="1" si="1"/>
        <v>4</v>
      </c>
      <c r="F34" s="46" t="str">
        <f t="shared" si="2"/>
        <v>Matavfallskärl</v>
      </c>
      <c r="G34" s="46" t="s">
        <v>2468</v>
      </c>
    </row>
    <row r="35" spans="1:7">
      <c r="A35" s="43" t="s">
        <v>2462</v>
      </c>
      <c r="B35" s="50" t="str">
        <f>CONCATENATE(VLOOKUP(C35,'Butiksobjekt steg 2'!A:B,2,FALSE)," ",A35)</f>
        <v>Associerad Matvärlden Kungens Kurva Kuundvagnsgarage</v>
      </c>
      <c r="C35" s="43">
        <v>11</v>
      </c>
      <c r="D35" s="45">
        <f t="shared" ca="1" si="0"/>
        <v>38</v>
      </c>
      <c r="E35" s="46">
        <f t="shared" ca="1" si="1"/>
        <v>2</v>
      </c>
      <c r="F35" s="46" t="str">
        <f t="shared" si="2"/>
        <v>Kuundvagnsgarage</v>
      </c>
      <c r="G35" s="46" t="s">
        <v>2469</v>
      </c>
    </row>
    <row r="36" spans="1:7">
      <c r="A36" s="43" t="s">
        <v>2460</v>
      </c>
      <c r="B36" s="50" t="str">
        <f>CONCATENATE(VLOOKUP(C36,'Butiksobjekt steg 2'!A:B,2,FALSE)," ",A36)</f>
        <v>Associerad Matvärlden Veddesta Pantkärl</v>
      </c>
      <c r="C36" s="43">
        <v>12</v>
      </c>
      <c r="D36" s="45">
        <f t="shared" ca="1" si="0"/>
        <v>18</v>
      </c>
      <c r="E36" s="46">
        <f t="shared" ca="1" si="1"/>
        <v>3</v>
      </c>
      <c r="F36" s="46" t="str">
        <f t="shared" si="2"/>
        <v>Pantkärl</v>
      </c>
      <c r="G36" s="46" t="s">
        <v>2470</v>
      </c>
    </row>
    <row r="37" spans="1:7">
      <c r="A37" s="43" t="s">
        <v>2461</v>
      </c>
      <c r="B37" s="50" t="str">
        <f>CONCATENATE(VLOOKUP(C37,'Butiksobjekt steg 2'!A:B,2,FALSE)," ",A37)</f>
        <v>Associerad Matvärlden Veddesta Matavfallskärl</v>
      </c>
      <c r="C37" s="43">
        <v>12</v>
      </c>
      <c r="D37" s="45">
        <f t="shared" ca="1" si="0"/>
        <v>18</v>
      </c>
      <c r="E37" s="46">
        <f t="shared" ca="1" si="1"/>
        <v>2</v>
      </c>
      <c r="F37" s="46" t="str">
        <f t="shared" si="2"/>
        <v>Matavfallskärl</v>
      </c>
      <c r="G37" s="46" t="s">
        <v>2468</v>
      </c>
    </row>
    <row r="38" spans="1:7">
      <c r="A38" s="43" t="s">
        <v>2462</v>
      </c>
      <c r="B38" s="50" t="str">
        <f>CONCATENATE(VLOOKUP(C38,'Butiksobjekt steg 2'!A:B,2,FALSE)," ",A38)</f>
        <v>Associerad Matvärlden Veddesta Kuundvagnsgarage</v>
      </c>
      <c r="C38" s="43">
        <v>12</v>
      </c>
      <c r="D38" s="45">
        <f t="shared" ca="1" si="0"/>
        <v>35</v>
      </c>
      <c r="E38" s="46">
        <f t="shared" ca="1" si="1"/>
        <v>5</v>
      </c>
      <c r="F38" s="46" t="str">
        <f t="shared" si="2"/>
        <v>Kuundvagnsgarage</v>
      </c>
      <c r="G38" s="46" t="s">
        <v>2469</v>
      </c>
    </row>
    <row r="39" spans="1:7">
      <c r="A39" s="43" t="s">
        <v>2460</v>
      </c>
      <c r="B39" s="50" t="str">
        <f>CONCATENATE(VLOOKUP(C39,'Butiksobjekt steg 2'!A:B,2,FALSE)," ",A39)</f>
        <v>Associerad Polargrossen Haparanda  Pantkärl</v>
      </c>
      <c r="C39" s="43">
        <v>13</v>
      </c>
      <c r="D39" s="45">
        <f t="shared" ca="1" si="0"/>
        <v>34</v>
      </c>
      <c r="E39" s="46">
        <f t="shared" ca="1" si="1"/>
        <v>5</v>
      </c>
      <c r="F39" s="46" t="str">
        <f t="shared" si="2"/>
        <v>Pantkärl</v>
      </c>
      <c r="G39" s="46" t="s">
        <v>2470</v>
      </c>
    </row>
    <row r="40" spans="1:7">
      <c r="A40" s="43" t="s">
        <v>2461</v>
      </c>
      <c r="B40" s="50" t="str">
        <f>CONCATENATE(VLOOKUP(C40,'Butiksobjekt steg 2'!A:B,2,FALSE)," ",A40)</f>
        <v>Associerad Polargrossen Haparanda  Matavfallskärl</v>
      </c>
      <c r="C40" s="43">
        <v>13</v>
      </c>
      <c r="D40" s="45">
        <f t="shared" ca="1" si="0"/>
        <v>24</v>
      </c>
      <c r="E40" s="46">
        <f t="shared" ca="1" si="1"/>
        <v>5</v>
      </c>
      <c r="F40" s="46" t="str">
        <f t="shared" si="2"/>
        <v>Matavfallskärl</v>
      </c>
      <c r="G40" s="46" t="s">
        <v>2468</v>
      </c>
    </row>
    <row r="41" spans="1:7">
      <c r="A41" s="43" t="s">
        <v>2462</v>
      </c>
      <c r="B41" s="50" t="str">
        <f>CONCATENATE(VLOOKUP(C41,'Butiksobjekt steg 2'!A:B,2,FALSE)," ",A41)</f>
        <v>Associerad Polargrossen Haparanda  Kuundvagnsgarage</v>
      </c>
      <c r="C41" s="43">
        <v>13</v>
      </c>
      <c r="D41" s="45">
        <f t="shared" ca="1" si="0"/>
        <v>19</v>
      </c>
      <c r="E41" s="46">
        <f t="shared" ca="1" si="1"/>
        <v>5</v>
      </c>
      <c r="F41" s="46" t="str">
        <f t="shared" si="2"/>
        <v>Kuundvagnsgarage</v>
      </c>
      <c r="G41" s="46" t="s">
        <v>2469</v>
      </c>
    </row>
    <row r="42" spans="1:7">
      <c r="A42" s="43" t="s">
        <v>2460</v>
      </c>
      <c r="B42" s="50" t="str">
        <f>CONCATENATE(VLOOKUP(C42,'Butiksobjekt steg 2'!A:B,2,FALSE)," ",A42)</f>
        <v>Associerad T-Snabben Stockholm Östra Station Pantkärl</v>
      </c>
      <c r="C42" s="43">
        <v>14</v>
      </c>
      <c r="D42" s="45">
        <f t="shared" ca="1" si="0"/>
        <v>42</v>
      </c>
      <c r="E42" s="46">
        <f t="shared" ca="1" si="1"/>
        <v>5</v>
      </c>
      <c r="F42" s="46" t="str">
        <f t="shared" si="2"/>
        <v>Pantkärl</v>
      </c>
      <c r="G42" s="46" t="s">
        <v>2470</v>
      </c>
    </row>
    <row r="43" spans="1:7">
      <c r="A43" s="43" t="s">
        <v>2461</v>
      </c>
      <c r="B43" s="50" t="str">
        <f>CONCATENATE(VLOOKUP(C43,'Butiksobjekt steg 2'!A:B,2,FALSE)," ",A43)</f>
        <v>Associerad T-Snabben Stockholm Östra Station Matavfallskärl</v>
      </c>
      <c r="C43" s="43">
        <v>14</v>
      </c>
      <c r="D43" s="45">
        <f t="shared" ca="1" si="0"/>
        <v>48</v>
      </c>
      <c r="E43" s="46">
        <f t="shared" ca="1" si="1"/>
        <v>3</v>
      </c>
      <c r="F43" s="46" t="str">
        <f t="shared" si="2"/>
        <v>Matavfallskärl</v>
      </c>
      <c r="G43" s="46" t="s">
        <v>2468</v>
      </c>
    </row>
    <row r="44" spans="1:7">
      <c r="A44" s="43" t="s">
        <v>2462</v>
      </c>
      <c r="B44" s="50" t="str">
        <f>CONCATENATE(VLOOKUP(C44,'Butiksobjekt steg 2'!A:B,2,FALSE)," ",A44)</f>
        <v>Associerad T-Snabben Stockholm Östra Station Kuundvagnsgarage</v>
      </c>
      <c r="C44" s="43">
        <v>14</v>
      </c>
      <c r="D44" s="45">
        <f t="shared" ca="1" si="0"/>
        <v>30</v>
      </c>
      <c r="E44" s="46">
        <f t="shared" ca="1" si="1"/>
        <v>5</v>
      </c>
      <c r="F44" s="46" t="str">
        <f t="shared" si="2"/>
        <v>Kuundvagnsgarage</v>
      </c>
      <c r="G44" s="46" t="s">
        <v>2469</v>
      </c>
    </row>
    <row r="45" spans="1:7">
      <c r="A45" s="43" t="s">
        <v>2460</v>
      </c>
      <c r="B45" s="50" t="str">
        <f>CONCATENATE(VLOOKUP(C45,'Butiksobjekt steg 2'!A:B,2,FALSE)," ",A45)</f>
        <v>Hemköp Alfta Västanågatan Pantkärl</v>
      </c>
      <c r="C45" s="43">
        <v>15</v>
      </c>
      <c r="D45" s="45">
        <f t="shared" ca="1" si="0"/>
        <v>24</v>
      </c>
      <c r="E45" s="46">
        <f t="shared" ca="1" si="1"/>
        <v>2</v>
      </c>
      <c r="F45" s="46" t="str">
        <f t="shared" si="2"/>
        <v>Pantkärl</v>
      </c>
      <c r="G45" s="46" t="s">
        <v>2470</v>
      </c>
    </row>
    <row r="46" spans="1:7">
      <c r="A46" s="43" t="s">
        <v>2461</v>
      </c>
      <c r="B46" s="50" t="str">
        <f>CONCATENATE(VLOOKUP(C46,'Butiksobjekt steg 2'!A:B,2,FALSE)," ",A46)</f>
        <v>Hemköp Alfta Västanågatan Matavfallskärl</v>
      </c>
      <c r="C46" s="43">
        <v>15</v>
      </c>
      <c r="D46" s="45">
        <f t="shared" ca="1" si="0"/>
        <v>8</v>
      </c>
      <c r="E46" s="46">
        <f t="shared" ca="1" si="1"/>
        <v>2</v>
      </c>
      <c r="F46" s="46" t="str">
        <f t="shared" si="2"/>
        <v>Matavfallskärl</v>
      </c>
      <c r="G46" s="46" t="s">
        <v>2468</v>
      </c>
    </row>
    <row r="47" spans="1:7">
      <c r="A47" s="43" t="s">
        <v>2462</v>
      </c>
      <c r="B47" s="50" t="str">
        <f>CONCATENATE(VLOOKUP(C47,'Butiksobjekt steg 2'!A:B,2,FALSE)," ",A47)</f>
        <v>Hemköp Alfta Västanågatan Kuundvagnsgarage</v>
      </c>
      <c r="C47" s="43">
        <v>15</v>
      </c>
      <c r="D47" s="45">
        <f t="shared" ca="1" si="0"/>
        <v>50</v>
      </c>
      <c r="E47" s="46">
        <f t="shared" ca="1" si="1"/>
        <v>5</v>
      </c>
      <c r="F47" s="46" t="str">
        <f t="shared" si="2"/>
        <v>Kuundvagnsgarage</v>
      </c>
      <c r="G47" s="46" t="s">
        <v>2469</v>
      </c>
    </row>
    <row r="48" spans="1:7">
      <c r="A48" s="43" t="s">
        <v>2460</v>
      </c>
      <c r="B48" s="50" t="str">
        <f>CONCATENATE(VLOOKUP(C48,'Butiksobjekt steg 2'!A:B,2,FALSE)," ",A48)</f>
        <v>Hemköp Alingsås Sveagatan Pantkärl</v>
      </c>
      <c r="C48" s="43">
        <v>16</v>
      </c>
      <c r="D48" s="45">
        <f t="shared" ca="1" si="0"/>
        <v>12</v>
      </c>
      <c r="E48" s="46">
        <f t="shared" ca="1" si="1"/>
        <v>4</v>
      </c>
      <c r="F48" s="46" t="str">
        <f t="shared" si="2"/>
        <v>Pantkärl</v>
      </c>
      <c r="G48" s="46" t="s">
        <v>2470</v>
      </c>
    </row>
    <row r="49" spans="1:7">
      <c r="A49" s="43" t="s">
        <v>2461</v>
      </c>
      <c r="B49" s="50" t="str">
        <f>CONCATENATE(VLOOKUP(C49,'Butiksobjekt steg 2'!A:B,2,FALSE)," ",A49)</f>
        <v>Hemköp Alingsås Sveagatan Matavfallskärl</v>
      </c>
      <c r="C49" s="43">
        <v>16</v>
      </c>
      <c r="D49" s="45">
        <f t="shared" ca="1" si="0"/>
        <v>30</v>
      </c>
      <c r="E49" s="46">
        <f t="shared" ca="1" si="1"/>
        <v>2</v>
      </c>
      <c r="F49" s="46" t="str">
        <f t="shared" si="2"/>
        <v>Matavfallskärl</v>
      </c>
      <c r="G49" s="46" t="s">
        <v>2468</v>
      </c>
    </row>
    <row r="50" spans="1:7">
      <c r="A50" s="43" t="s">
        <v>2462</v>
      </c>
      <c r="B50" s="50" t="str">
        <f>CONCATENATE(VLOOKUP(C50,'Butiksobjekt steg 2'!A:B,2,FALSE)," ",A50)</f>
        <v>Hemköp Alingsås Sveagatan Kuundvagnsgarage</v>
      </c>
      <c r="C50" s="43">
        <v>16</v>
      </c>
      <c r="D50" s="45">
        <f t="shared" ca="1" si="0"/>
        <v>31</v>
      </c>
      <c r="E50" s="46">
        <f t="shared" ca="1" si="1"/>
        <v>4</v>
      </c>
      <c r="F50" s="46" t="str">
        <f t="shared" si="2"/>
        <v>Kuundvagnsgarage</v>
      </c>
      <c r="G50" s="46" t="s">
        <v>2469</v>
      </c>
    </row>
    <row r="51" spans="1:7">
      <c r="A51" s="43" t="s">
        <v>2460</v>
      </c>
      <c r="B51" s="50" t="str">
        <f>CONCATENATE(VLOOKUP(C51,'Butiksobjekt steg 2'!A:B,2,FALSE)," ",A51)</f>
        <v>Hemköp Avesta Prästgatan Pantkärl</v>
      </c>
      <c r="C51" s="43">
        <v>17</v>
      </c>
      <c r="D51" s="45">
        <f t="shared" ca="1" si="0"/>
        <v>10</v>
      </c>
      <c r="E51" s="46">
        <f t="shared" ca="1" si="1"/>
        <v>3</v>
      </c>
      <c r="F51" s="46" t="str">
        <f t="shared" si="2"/>
        <v>Pantkärl</v>
      </c>
      <c r="G51" s="46" t="s">
        <v>2470</v>
      </c>
    </row>
    <row r="52" spans="1:7">
      <c r="A52" s="43" t="s">
        <v>2461</v>
      </c>
      <c r="B52" s="50" t="str">
        <f>CONCATENATE(VLOOKUP(C52,'Butiksobjekt steg 2'!A:B,2,FALSE)," ",A52)</f>
        <v>Hemköp Avesta Prästgatan Matavfallskärl</v>
      </c>
      <c r="C52" s="43">
        <v>17</v>
      </c>
      <c r="D52" s="45">
        <f t="shared" ca="1" si="0"/>
        <v>32</v>
      </c>
      <c r="E52" s="46">
        <f t="shared" ca="1" si="1"/>
        <v>3</v>
      </c>
      <c r="F52" s="46" t="str">
        <f t="shared" si="2"/>
        <v>Matavfallskärl</v>
      </c>
      <c r="G52" s="46" t="s">
        <v>2468</v>
      </c>
    </row>
    <row r="53" spans="1:7">
      <c r="A53" s="43" t="s">
        <v>2462</v>
      </c>
      <c r="B53" s="50" t="str">
        <f>CONCATENATE(VLOOKUP(C53,'Butiksobjekt steg 2'!A:B,2,FALSE)," ",A53)</f>
        <v>Hemköp Avesta Prästgatan Kuundvagnsgarage</v>
      </c>
      <c r="C53" s="43">
        <v>17</v>
      </c>
      <c r="D53" s="45">
        <f t="shared" ca="1" si="0"/>
        <v>37</v>
      </c>
      <c r="E53" s="46">
        <f t="shared" ca="1" si="1"/>
        <v>4</v>
      </c>
      <c r="F53" s="46" t="str">
        <f t="shared" si="2"/>
        <v>Kuundvagnsgarage</v>
      </c>
      <c r="G53" s="46" t="s">
        <v>2469</v>
      </c>
    </row>
    <row r="54" spans="1:7">
      <c r="A54" s="43" t="s">
        <v>2460</v>
      </c>
      <c r="B54" s="50" t="str">
        <f>CONCATENATE(VLOOKUP(C54,'Butiksobjekt steg 2'!A:B,2,FALSE)," ",A54)</f>
        <v>Hemköp Avesta Skogsbo  Pantkärl</v>
      </c>
      <c r="C54" s="43">
        <v>18</v>
      </c>
      <c r="D54" s="45">
        <f t="shared" ca="1" si="0"/>
        <v>21</v>
      </c>
      <c r="E54" s="46">
        <f t="shared" ca="1" si="1"/>
        <v>3</v>
      </c>
      <c r="F54" s="46" t="str">
        <f t="shared" si="2"/>
        <v>Pantkärl</v>
      </c>
      <c r="G54" s="46" t="s">
        <v>2470</v>
      </c>
    </row>
    <row r="55" spans="1:7">
      <c r="A55" s="43" t="s">
        <v>2461</v>
      </c>
      <c r="B55" s="50" t="str">
        <f>CONCATENATE(VLOOKUP(C55,'Butiksobjekt steg 2'!A:B,2,FALSE)," ",A55)</f>
        <v>Hemköp Avesta Skogsbo  Matavfallskärl</v>
      </c>
      <c r="C55" s="43">
        <v>18</v>
      </c>
      <c r="D55" s="45">
        <f t="shared" ca="1" si="0"/>
        <v>41</v>
      </c>
      <c r="E55" s="46">
        <f t="shared" ca="1" si="1"/>
        <v>5</v>
      </c>
      <c r="F55" s="46" t="str">
        <f t="shared" si="2"/>
        <v>Matavfallskärl</v>
      </c>
      <c r="G55" s="46" t="s">
        <v>2468</v>
      </c>
    </row>
    <row r="56" spans="1:7">
      <c r="A56" s="43" t="s">
        <v>2462</v>
      </c>
      <c r="B56" s="50" t="str">
        <f>CONCATENATE(VLOOKUP(C56,'Butiksobjekt steg 2'!A:B,2,FALSE)," ",A56)</f>
        <v>Hemköp Avesta Skogsbo  Kuundvagnsgarage</v>
      </c>
      <c r="C56" s="43">
        <v>18</v>
      </c>
      <c r="D56" s="45">
        <f t="shared" ca="1" si="0"/>
        <v>51</v>
      </c>
      <c r="E56" s="46">
        <f t="shared" ca="1" si="1"/>
        <v>5</v>
      </c>
      <c r="F56" s="46" t="str">
        <f t="shared" si="2"/>
        <v>Kuundvagnsgarage</v>
      </c>
      <c r="G56" s="46" t="s">
        <v>2469</v>
      </c>
    </row>
    <row r="57" spans="1:7">
      <c r="A57" s="43" t="s">
        <v>2460</v>
      </c>
      <c r="B57" s="50" t="str">
        <f>CONCATENATE(VLOOKUP(C57,'Butiksobjekt steg 2'!A:B,2,FALSE)," ",A57)</f>
        <v>Hemköp Stockholm Bromma Stora Mossen Pantkärl</v>
      </c>
      <c r="C57" s="43">
        <v>19</v>
      </c>
      <c r="D57" s="45">
        <f t="shared" ca="1" si="0"/>
        <v>34</v>
      </c>
      <c r="E57" s="46">
        <f t="shared" ca="1" si="1"/>
        <v>1</v>
      </c>
      <c r="F57" s="46" t="str">
        <f t="shared" si="2"/>
        <v>Pantkärl</v>
      </c>
      <c r="G57" s="46" t="s">
        <v>2470</v>
      </c>
    </row>
    <row r="58" spans="1:7">
      <c r="A58" s="43" t="s">
        <v>2461</v>
      </c>
      <c r="B58" s="50" t="str">
        <f>CONCATENATE(VLOOKUP(C58,'Butiksobjekt steg 2'!A:B,2,FALSE)," ",A58)</f>
        <v>Hemköp Stockholm Bromma Stora Mossen Matavfallskärl</v>
      </c>
      <c r="C58" s="43">
        <v>19</v>
      </c>
      <c r="D58" s="45">
        <f t="shared" ca="1" si="0"/>
        <v>28</v>
      </c>
      <c r="E58" s="46">
        <f t="shared" ca="1" si="1"/>
        <v>3</v>
      </c>
      <c r="F58" s="46" t="str">
        <f t="shared" si="2"/>
        <v>Matavfallskärl</v>
      </c>
      <c r="G58" s="46" t="s">
        <v>2468</v>
      </c>
    </row>
    <row r="59" spans="1:7">
      <c r="A59" s="43" t="s">
        <v>2462</v>
      </c>
      <c r="B59" s="50" t="str">
        <f>CONCATENATE(VLOOKUP(C59,'Butiksobjekt steg 2'!A:B,2,FALSE)," ",A59)</f>
        <v>Hemköp Stockholm Bromma Stora Mossen Kuundvagnsgarage</v>
      </c>
      <c r="C59" s="43">
        <v>19</v>
      </c>
      <c r="D59" s="45">
        <f t="shared" ca="1" si="0"/>
        <v>28</v>
      </c>
      <c r="E59" s="46">
        <f t="shared" ca="1" si="1"/>
        <v>1</v>
      </c>
      <c r="F59" s="46" t="str">
        <f t="shared" si="2"/>
        <v>Kuundvagnsgarage</v>
      </c>
      <c r="G59" s="46" t="s">
        <v>2469</v>
      </c>
    </row>
    <row r="60" spans="1:7">
      <c r="A60" s="43" t="s">
        <v>2460</v>
      </c>
      <c r="B60" s="50" t="str">
        <f>CONCATENATE(VLOOKUP(C60,'Butiksobjekt steg 2'!A:B,2,FALSE)," ",A60)</f>
        <v>Hemköp Björklinge C Pantkärl</v>
      </c>
      <c r="C60" s="43">
        <v>20</v>
      </c>
      <c r="D60" s="45">
        <f t="shared" ca="1" si="0"/>
        <v>49</v>
      </c>
      <c r="E60" s="46">
        <f t="shared" ca="1" si="1"/>
        <v>2</v>
      </c>
      <c r="F60" s="46" t="str">
        <f t="shared" si="2"/>
        <v>Pantkärl</v>
      </c>
      <c r="G60" s="46" t="s">
        <v>2470</v>
      </c>
    </row>
    <row r="61" spans="1:7">
      <c r="A61" s="43" t="s">
        <v>2461</v>
      </c>
      <c r="B61" s="50" t="str">
        <f>CONCATENATE(VLOOKUP(C61,'Butiksobjekt steg 2'!A:B,2,FALSE)," ",A61)</f>
        <v>Hemköp Björklinge C Matavfallskärl</v>
      </c>
      <c r="C61" s="43">
        <v>20</v>
      </c>
      <c r="D61" s="45">
        <f t="shared" ca="1" si="0"/>
        <v>22</v>
      </c>
      <c r="E61" s="46">
        <f t="shared" ca="1" si="1"/>
        <v>2</v>
      </c>
      <c r="F61" s="46" t="str">
        <f t="shared" si="2"/>
        <v>Matavfallskärl</v>
      </c>
      <c r="G61" s="46" t="s">
        <v>2468</v>
      </c>
    </row>
    <row r="62" spans="1:7">
      <c r="A62" s="43" t="s">
        <v>2462</v>
      </c>
      <c r="B62" s="50" t="str">
        <f>CONCATENATE(VLOOKUP(C62,'Butiksobjekt steg 2'!A:B,2,FALSE)," ",A62)</f>
        <v>Hemköp Björklinge C Kuundvagnsgarage</v>
      </c>
      <c r="C62" s="43">
        <v>20</v>
      </c>
      <c r="D62" s="45">
        <f t="shared" ca="1" si="0"/>
        <v>10</v>
      </c>
      <c r="E62" s="46">
        <f t="shared" ca="1" si="1"/>
        <v>3</v>
      </c>
      <c r="F62" s="46" t="str">
        <f t="shared" si="2"/>
        <v>Kuundvagnsgarage</v>
      </c>
      <c r="G62" s="46" t="s">
        <v>2469</v>
      </c>
    </row>
    <row r="63" spans="1:7">
      <c r="A63" s="43" t="s">
        <v>2460</v>
      </c>
      <c r="B63" s="50" t="str">
        <f>CONCATENATE(VLOOKUP(C63,'Butiksobjekt steg 2'!A:B,2,FALSE)," ",A63)</f>
        <v>Hemköp Bollebygd Stationsvägen Pantkärl</v>
      </c>
      <c r="C63" s="43">
        <v>21</v>
      </c>
      <c r="D63" s="45">
        <f t="shared" ca="1" si="0"/>
        <v>22</v>
      </c>
      <c r="E63" s="46">
        <f t="shared" ca="1" si="1"/>
        <v>3</v>
      </c>
      <c r="F63" s="46" t="str">
        <f t="shared" si="2"/>
        <v>Pantkärl</v>
      </c>
      <c r="G63" s="46" t="s">
        <v>2470</v>
      </c>
    </row>
    <row r="64" spans="1:7">
      <c r="A64" s="43" t="s">
        <v>2461</v>
      </c>
      <c r="B64" s="50" t="str">
        <f>CONCATENATE(VLOOKUP(C64,'Butiksobjekt steg 2'!A:B,2,FALSE)," ",A64)</f>
        <v>Hemköp Bollebygd Stationsvägen Matavfallskärl</v>
      </c>
      <c r="C64" s="43">
        <v>21</v>
      </c>
      <c r="D64" s="45">
        <f t="shared" ca="1" si="0"/>
        <v>44</v>
      </c>
      <c r="E64" s="46">
        <f t="shared" ca="1" si="1"/>
        <v>1</v>
      </c>
      <c r="F64" s="46" t="str">
        <f t="shared" si="2"/>
        <v>Matavfallskärl</v>
      </c>
      <c r="G64" s="46" t="s">
        <v>2468</v>
      </c>
    </row>
    <row r="65" spans="1:7">
      <c r="A65" s="43" t="s">
        <v>2462</v>
      </c>
      <c r="B65" s="50" t="str">
        <f>CONCATENATE(VLOOKUP(C65,'Butiksobjekt steg 2'!A:B,2,FALSE)," ",A65)</f>
        <v>Hemköp Bollebygd Stationsvägen Kuundvagnsgarage</v>
      </c>
      <c r="C65" s="43">
        <v>21</v>
      </c>
      <c r="D65" s="45">
        <f t="shared" ca="1" si="0"/>
        <v>29</v>
      </c>
      <c r="E65" s="46">
        <f t="shared" ca="1" si="1"/>
        <v>1</v>
      </c>
      <c r="F65" s="46" t="str">
        <f t="shared" si="2"/>
        <v>Kuundvagnsgarage</v>
      </c>
      <c r="G65" s="46" t="s">
        <v>2469</v>
      </c>
    </row>
    <row r="66" spans="1:7">
      <c r="A66" s="43" t="s">
        <v>2460</v>
      </c>
      <c r="B66" s="50" t="str">
        <f>CONCATENATE(VLOOKUP(C66,'Butiksobjekt steg 2'!A:B,2,FALSE)," ",A66)</f>
        <v>Hemköp Borlänge Södra Backa Pantkärl</v>
      </c>
      <c r="C66" s="43">
        <v>22</v>
      </c>
      <c r="D66" s="45">
        <f t="shared" ca="1" si="0"/>
        <v>48</v>
      </c>
      <c r="E66" s="46">
        <f t="shared" ca="1" si="1"/>
        <v>1</v>
      </c>
      <c r="F66" s="46" t="str">
        <f t="shared" si="2"/>
        <v>Pantkärl</v>
      </c>
      <c r="G66" s="46" t="s">
        <v>2470</v>
      </c>
    </row>
    <row r="67" spans="1:7">
      <c r="A67" s="43" t="s">
        <v>2461</v>
      </c>
      <c r="B67" s="50" t="str">
        <f>CONCATENATE(VLOOKUP(C67,'Butiksobjekt steg 2'!A:B,2,FALSE)," ",A67)</f>
        <v>Hemköp Borlänge Södra Backa Matavfallskärl</v>
      </c>
      <c r="C67" s="43">
        <v>22</v>
      </c>
      <c r="D67" s="45">
        <f t="shared" ca="1" si="0"/>
        <v>11</v>
      </c>
      <c r="E67" s="46">
        <f t="shared" ca="1" si="1"/>
        <v>5</v>
      </c>
      <c r="F67" s="46" t="str">
        <f t="shared" si="2"/>
        <v>Matavfallskärl</v>
      </c>
      <c r="G67" s="46" t="s">
        <v>2468</v>
      </c>
    </row>
    <row r="68" spans="1:7">
      <c r="A68" s="43" t="s">
        <v>2462</v>
      </c>
      <c r="B68" s="50" t="str">
        <f>CONCATENATE(VLOOKUP(C68,'Butiksobjekt steg 2'!A:B,2,FALSE)," ",A68)</f>
        <v>Hemköp Borlänge Södra Backa Kuundvagnsgarage</v>
      </c>
      <c r="C68" s="43">
        <v>22</v>
      </c>
      <c r="D68" s="45">
        <f t="shared" ref="D68:D131" ca="1" si="3">RANDBETWEEN(8,53)</f>
        <v>28</v>
      </c>
      <c r="E68" s="46">
        <f t="shared" ref="E68:E131" ca="1" si="4">RANDBETWEEN(1,5)</f>
        <v>2</v>
      </c>
      <c r="F68" s="46" t="str">
        <f t="shared" si="2"/>
        <v>Kuundvagnsgarage</v>
      </c>
      <c r="G68" s="46" t="s">
        <v>2469</v>
      </c>
    </row>
    <row r="69" spans="1:7">
      <c r="A69" s="43" t="s">
        <v>2460</v>
      </c>
      <c r="B69" s="50" t="str">
        <f>CONCATENATE(VLOOKUP(C69,'Butiksobjekt steg 2'!A:B,2,FALSE)," ",A69)</f>
        <v>Hemköp Bålsta Gamla C Pantkärl</v>
      </c>
      <c r="C69" s="43">
        <v>23</v>
      </c>
      <c r="D69" s="45">
        <f t="shared" ca="1" si="3"/>
        <v>45</v>
      </c>
      <c r="E69" s="46">
        <f t="shared" ca="1" si="4"/>
        <v>1</v>
      </c>
      <c r="F69" s="46" t="str">
        <f t="shared" ref="F69:F132" si="5">A69</f>
        <v>Pantkärl</v>
      </c>
      <c r="G69" s="46" t="s">
        <v>2470</v>
      </c>
    </row>
    <row r="70" spans="1:7">
      <c r="A70" s="43" t="s">
        <v>2461</v>
      </c>
      <c r="B70" s="50" t="str">
        <f>CONCATENATE(VLOOKUP(C70,'Butiksobjekt steg 2'!A:B,2,FALSE)," ",A70)</f>
        <v>Hemköp Bålsta Gamla C Matavfallskärl</v>
      </c>
      <c r="C70" s="43">
        <v>23</v>
      </c>
      <c r="D70" s="45">
        <f t="shared" ca="1" si="3"/>
        <v>36</v>
      </c>
      <c r="E70" s="46">
        <f t="shared" ca="1" si="4"/>
        <v>4</v>
      </c>
      <c r="F70" s="46" t="str">
        <f t="shared" si="5"/>
        <v>Matavfallskärl</v>
      </c>
      <c r="G70" s="46" t="s">
        <v>2468</v>
      </c>
    </row>
    <row r="71" spans="1:7">
      <c r="A71" s="43" t="s">
        <v>2462</v>
      </c>
      <c r="B71" s="50" t="str">
        <f>CONCATENATE(VLOOKUP(C71,'Butiksobjekt steg 2'!A:B,2,FALSE)," ",A71)</f>
        <v>Hemköp Bålsta Gamla C Kuundvagnsgarage</v>
      </c>
      <c r="C71" s="43">
        <v>23</v>
      </c>
      <c r="D71" s="45">
        <f t="shared" ca="1" si="3"/>
        <v>10</v>
      </c>
      <c r="E71" s="46">
        <f t="shared" ca="1" si="4"/>
        <v>5</v>
      </c>
      <c r="F71" s="46" t="str">
        <f t="shared" si="5"/>
        <v>Kuundvagnsgarage</v>
      </c>
      <c r="G71" s="46" t="s">
        <v>2469</v>
      </c>
    </row>
    <row r="72" spans="1:7">
      <c r="A72" s="43" t="s">
        <v>2460</v>
      </c>
      <c r="B72" s="50" t="str">
        <f>CONCATENATE(VLOOKUP(C72,'Butiksobjekt steg 2'!A:B,2,FALSE)," ",A72)</f>
        <v>Hemköp Dala-Järna Myrbacka Pantkärl</v>
      </c>
      <c r="C72" s="43">
        <v>24</v>
      </c>
      <c r="D72" s="45">
        <f t="shared" ca="1" si="3"/>
        <v>47</v>
      </c>
      <c r="E72" s="46">
        <f t="shared" ca="1" si="4"/>
        <v>4</v>
      </c>
      <c r="F72" s="46" t="str">
        <f t="shared" si="5"/>
        <v>Pantkärl</v>
      </c>
      <c r="G72" s="46" t="s">
        <v>2470</v>
      </c>
    </row>
    <row r="73" spans="1:7">
      <c r="A73" s="43" t="s">
        <v>2461</v>
      </c>
      <c r="B73" s="50" t="str">
        <f>CONCATENATE(VLOOKUP(C73,'Butiksobjekt steg 2'!A:B,2,FALSE)," ",A73)</f>
        <v>Hemköp Dala-Järna Myrbacka Matavfallskärl</v>
      </c>
      <c r="C73" s="43">
        <v>24</v>
      </c>
      <c r="D73" s="45">
        <f t="shared" ca="1" si="3"/>
        <v>31</v>
      </c>
      <c r="E73" s="46">
        <f t="shared" ca="1" si="4"/>
        <v>3</v>
      </c>
      <c r="F73" s="46" t="str">
        <f t="shared" si="5"/>
        <v>Matavfallskärl</v>
      </c>
      <c r="G73" s="46" t="s">
        <v>2468</v>
      </c>
    </row>
    <row r="74" spans="1:7">
      <c r="A74" s="43" t="s">
        <v>2462</v>
      </c>
      <c r="B74" s="50" t="str">
        <f>CONCATENATE(VLOOKUP(C74,'Butiksobjekt steg 2'!A:B,2,FALSE)," ",A74)</f>
        <v>Hemköp Dala-Järna Myrbacka Kuundvagnsgarage</v>
      </c>
      <c r="C74" s="43">
        <v>24</v>
      </c>
      <c r="D74" s="45">
        <f t="shared" ca="1" si="3"/>
        <v>15</v>
      </c>
      <c r="E74" s="46">
        <f t="shared" ca="1" si="4"/>
        <v>2</v>
      </c>
      <c r="F74" s="46" t="str">
        <f t="shared" si="5"/>
        <v>Kuundvagnsgarage</v>
      </c>
      <c r="G74" s="46" t="s">
        <v>2469</v>
      </c>
    </row>
    <row r="75" spans="1:7">
      <c r="A75" s="43" t="s">
        <v>2460</v>
      </c>
      <c r="B75" s="50" t="str">
        <f>CONCATENATE(VLOOKUP(C75,'Butiksobjekt steg 2'!A:B,2,FALSE)," ",A75)</f>
        <v>Hemköp Dalby C Pantkärl</v>
      </c>
      <c r="C75" s="43">
        <v>25</v>
      </c>
      <c r="D75" s="45">
        <f t="shared" ca="1" si="3"/>
        <v>53</v>
      </c>
      <c r="E75" s="46">
        <f t="shared" ca="1" si="4"/>
        <v>2</v>
      </c>
      <c r="F75" s="46" t="str">
        <f t="shared" si="5"/>
        <v>Pantkärl</v>
      </c>
      <c r="G75" s="46" t="s">
        <v>2470</v>
      </c>
    </row>
    <row r="76" spans="1:7">
      <c r="A76" s="43" t="s">
        <v>2461</v>
      </c>
      <c r="B76" s="50" t="str">
        <f>CONCATENATE(VLOOKUP(C76,'Butiksobjekt steg 2'!A:B,2,FALSE)," ",A76)</f>
        <v>Hemköp Dalby C Matavfallskärl</v>
      </c>
      <c r="C76" s="43">
        <v>25</v>
      </c>
      <c r="D76" s="45">
        <f t="shared" ca="1" si="3"/>
        <v>22</v>
      </c>
      <c r="E76" s="46">
        <f t="shared" ca="1" si="4"/>
        <v>5</v>
      </c>
      <c r="F76" s="46" t="str">
        <f t="shared" si="5"/>
        <v>Matavfallskärl</v>
      </c>
      <c r="G76" s="46" t="s">
        <v>2468</v>
      </c>
    </row>
    <row r="77" spans="1:7">
      <c r="A77" s="43" t="s">
        <v>2462</v>
      </c>
      <c r="B77" s="50" t="str">
        <f>CONCATENATE(VLOOKUP(C77,'Butiksobjekt steg 2'!A:B,2,FALSE)," ",A77)</f>
        <v>Hemköp Dalby C Kuundvagnsgarage</v>
      </c>
      <c r="C77" s="43">
        <v>25</v>
      </c>
      <c r="D77" s="45">
        <f t="shared" ca="1" si="3"/>
        <v>34</v>
      </c>
      <c r="E77" s="46">
        <f t="shared" ca="1" si="4"/>
        <v>2</v>
      </c>
      <c r="F77" s="46" t="str">
        <f t="shared" si="5"/>
        <v>Kuundvagnsgarage</v>
      </c>
      <c r="G77" s="46" t="s">
        <v>2469</v>
      </c>
    </row>
    <row r="78" spans="1:7">
      <c r="A78" s="43" t="s">
        <v>2460</v>
      </c>
      <c r="B78" s="50" t="str">
        <f>CONCATENATE(VLOOKUP(C78,'Butiksobjekt steg 2'!A:B,2,FALSE)," ",A78)</f>
        <v>Hemköp Danderyd Mörby C Pantkärl</v>
      </c>
      <c r="C78" s="43">
        <v>26</v>
      </c>
      <c r="D78" s="45">
        <f t="shared" ca="1" si="3"/>
        <v>40</v>
      </c>
      <c r="E78" s="46">
        <f t="shared" ca="1" si="4"/>
        <v>4</v>
      </c>
      <c r="F78" s="46" t="str">
        <f t="shared" si="5"/>
        <v>Pantkärl</v>
      </c>
      <c r="G78" s="46" t="s">
        <v>2470</v>
      </c>
    </row>
    <row r="79" spans="1:7">
      <c r="A79" s="43" t="s">
        <v>2461</v>
      </c>
      <c r="B79" s="50" t="str">
        <f>CONCATENATE(VLOOKUP(C79,'Butiksobjekt steg 2'!A:B,2,FALSE)," ",A79)</f>
        <v>Hemköp Danderyd Mörby C Matavfallskärl</v>
      </c>
      <c r="C79" s="43">
        <v>26</v>
      </c>
      <c r="D79" s="45">
        <f t="shared" ca="1" si="3"/>
        <v>19</v>
      </c>
      <c r="E79" s="46">
        <f t="shared" ca="1" si="4"/>
        <v>1</v>
      </c>
      <c r="F79" s="46" t="str">
        <f t="shared" si="5"/>
        <v>Matavfallskärl</v>
      </c>
      <c r="G79" s="46" t="s">
        <v>2468</v>
      </c>
    </row>
    <row r="80" spans="1:7">
      <c r="A80" s="43" t="s">
        <v>2462</v>
      </c>
      <c r="B80" s="50" t="str">
        <f>CONCATENATE(VLOOKUP(C80,'Butiksobjekt steg 2'!A:B,2,FALSE)," ",A80)</f>
        <v>Hemköp Danderyd Mörby C Kuundvagnsgarage</v>
      </c>
      <c r="C80" s="43">
        <v>26</v>
      </c>
      <c r="D80" s="45">
        <f t="shared" ca="1" si="3"/>
        <v>26</v>
      </c>
      <c r="E80" s="46">
        <f t="shared" ca="1" si="4"/>
        <v>5</v>
      </c>
      <c r="F80" s="46" t="str">
        <f t="shared" si="5"/>
        <v>Kuundvagnsgarage</v>
      </c>
      <c r="G80" s="46" t="s">
        <v>2469</v>
      </c>
    </row>
    <row r="81" spans="1:7">
      <c r="A81" s="43" t="s">
        <v>2460</v>
      </c>
      <c r="B81" s="50" t="str">
        <f>CONCATENATE(VLOOKUP(C81,'Butiksobjekt steg 2'!A:B,2,FALSE)," ",A81)</f>
        <v>Hemköp Delsbo Edevägen Pantkärl</v>
      </c>
      <c r="C81" s="43">
        <v>27</v>
      </c>
      <c r="D81" s="45">
        <f t="shared" ca="1" si="3"/>
        <v>10</v>
      </c>
      <c r="E81" s="46">
        <f t="shared" ca="1" si="4"/>
        <v>4</v>
      </c>
      <c r="F81" s="46" t="str">
        <f t="shared" si="5"/>
        <v>Pantkärl</v>
      </c>
      <c r="G81" s="46" t="s">
        <v>2470</v>
      </c>
    </row>
    <row r="82" spans="1:7">
      <c r="A82" s="43" t="s">
        <v>2461</v>
      </c>
      <c r="B82" s="50" t="str">
        <f>CONCATENATE(VLOOKUP(C82,'Butiksobjekt steg 2'!A:B,2,FALSE)," ",A82)</f>
        <v>Hemköp Delsbo Edevägen Matavfallskärl</v>
      </c>
      <c r="C82" s="43">
        <v>27</v>
      </c>
      <c r="D82" s="45">
        <f t="shared" ca="1" si="3"/>
        <v>17</v>
      </c>
      <c r="E82" s="46">
        <f t="shared" ca="1" si="4"/>
        <v>2</v>
      </c>
      <c r="F82" s="46" t="str">
        <f t="shared" si="5"/>
        <v>Matavfallskärl</v>
      </c>
      <c r="G82" s="46" t="s">
        <v>2468</v>
      </c>
    </row>
    <row r="83" spans="1:7">
      <c r="A83" s="43" t="s">
        <v>2462</v>
      </c>
      <c r="B83" s="50" t="str">
        <f>CONCATENATE(VLOOKUP(C83,'Butiksobjekt steg 2'!A:B,2,FALSE)," ",A83)</f>
        <v>Hemköp Delsbo Edevägen Kuundvagnsgarage</v>
      </c>
      <c r="C83" s="43">
        <v>27</v>
      </c>
      <c r="D83" s="45">
        <f t="shared" ca="1" si="3"/>
        <v>24</v>
      </c>
      <c r="E83" s="46">
        <f t="shared" ca="1" si="4"/>
        <v>1</v>
      </c>
      <c r="F83" s="46" t="str">
        <f t="shared" si="5"/>
        <v>Kuundvagnsgarage</v>
      </c>
      <c r="G83" s="46" t="s">
        <v>2469</v>
      </c>
    </row>
    <row r="84" spans="1:7">
      <c r="A84" s="43" t="s">
        <v>2460</v>
      </c>
      <c r="B84" s="50" t="str">
        <f>CONCATENATE(VLOOKUP(C84,'Butiksobjekt steg 2'!A:B,2,FALSE)," ",A84)</f>
        <v>Hemköp Ellös Rosenlundsvägen Pantkärl</v>
      </c>
      <c r="C84" s="43">
        <v>28</v>
      </c>
      <c r="D84" s="45">
        <f t="shared" ca="1" si="3"/>
        <v>28</v>
      </c>
      <c r="E84" s="46">
        <f t="shared" ca="1" si="4"/>
        <v>2</v>
      </c>
      <c r="F84" s="46" t="str">
        <f t="shared" si="5"/>
        <v>Pantkärl</v>
      </c>
      <c r="G84" s="46" t="s">
        <v>2470</v>
      </c>
    </row>
    <row r="85" spans="1:7">
      <c r="A85" s="43" t="s">
        <v>2461</v>
      </c>
      <c r="B85" s="50" t="str">
        <f>CONCATENATE(VLOOKUP(C85,'Butiksobjekt steg 2'!A:B,2,FALSE)," ",A85)</f>
        <v>Hemköp Ellös Rosenlundsvägen Matavfallskärl</v>
      </c>
      <c r="C85" s="43">
        <v>28</v>
      </c>
      <c r="D85" s="45">
        <f t="shared" ca="1" si="3"/>
        <v>41</v>
      </c>
      <c r="E85" s="46">
        <f t="shared" ca="1" si="4"/>
        <v>3</v>
      </c>
      <c r="F85" s="46" t="str">
        <f t="shared" si="5"/>
        <v>Matavfallskärl</v>
      </c>
      <c r="G85" s="46" t="s">
        <v>2468</v>
      </c>
    </row>
    <row r="86" spans="1:7">
      <c r="A86" s="43" t="s">
        <v>2462</v>
      </c>
      <c r="B86" s="50" t="str">
        <f>CONCATENATE(VLOOKUP(C86,'Butiksobjekt steg 2'!A:B,2,FALSE)," ",A86)</f>
        <v>Hemköp Ellös Rosenlundsvägen Kuundvagnsgarage</v>
      </c>
      <c r="C86" s="43">
        <v>28</v>
      </c>
      <c r="D86" s="45">
        <f t="shared" ca="1" si="3"/>
        <v>30</v>
      </c>
      <c r="E86" s="46">
        <f t="shared" ca="1" si="4"/>
        <v>3</v>
      </c>
      <c r="F86" s="46" t="str">
        <f t="shared" si="5"/>
        <v>Kuundvagnsgarage</v>
      </c>
      <c r="G86" s="46" t="s">
        <v>2469</v>
      </c>
    </row>
    <row r="87" spans="1:7">
      <c r="A87" s="43" t="s">
        <v>2460</v>
      </c>
      <c r="B87" s="50" t="str">
        <f>CONCATENATE(VLOOKUP(C87,'Butiksobjekt steg 2'!A:B,2,FALSE)," ",A87)</f>
        <v>Hemköp Eskilstuna C Pantkärl</v>
      </c>
      <c r="C87" s="43">
        <v>29</v>
      </c>
      <c r="D87" s="45">
        <f t="shared" ca="1" si="3"/>
        <v>29</v>
      </c>
      <c r="E87" s="46">
        <f t="shared" ca="1" si="4"/>
        <v>4</v>
      </c>
      <c r="F87" s="46" t="str">
        <f t="shared" si="5"/>
        <v>Pantkärl</v>
      </c>
      <c r="G87" s="46" t="s">
        <v>2470</v>
      </c>
    </row>
    <row r="88" spans="1:7">
      <c r="A88" s="43" t="s">
        <v>2461</v>
      </c>
      <c r="B88" s="50" t="str">
        <f>CONCATENATE(VLOOKUP(C88,'Butiksobjekt steg 2'!A:B,2,FALSE)," ",A88)</f>
        <v>Hemköp Eskilstuna C Matavfallskärl</v>
      </c>
      <c r="C88" s="43">
        <v>29</v>
      </c>
      <c r="D88" s="45">
        <f t="shared" ca="1" si="3"/>
        <v>19</v>
      </c>
      <c r="E88" s="46">
        <f t="shared" ca="1" si="4"/>
        <v>2</v>
      </c>
      <c r="F88" s="46" t="str">
        <f t="shared" si="5"/>
        <v>Matavfallskärl</v>
      </c>
      <c r="G88" s="46" t="s">
        <v>2468</v>
      </c>
    </row>
    <row r="89" spans="1:7">
      <c r="A89" s="43" t="s">
        <v>2462</v>
      </c>
      <c r="B89" s="50" t="str">
        <f>CONCATENATE(VLOOKUP(C89,'Butiksobjekt steg 2'!A:B,2,FALSE)," ",A89)</f>
        <v>Hemköp Eskilstuna C Kuundvagnsgarage</v>
      </c>
      <c r="C89" s="43">
        <v>29</v>
      </c>
      <c r="D89" s="45">
        <f t="shared" ca="1" si="3"/>
        <v>51</v>
      </c>
      <c r="E89" s="46">
        <f t="shared" ca="1" si="4"/>
        <v>5</v>
      </c>
      <c r="F89" s="46" t="str">
        <f t="shared" si="5"/>
        <v>Kuundvagnsgarage</v>
      </c>
      <c r="G89" s="46" t="s">
        <v>2469</v>
      </c>
    </row>
    <row r="90" spans="1:7">
      <c r="A90" s="43" t="s">
        <v>2460</v>
      </c>
      <c r="B90" s="50" t="str">
        <f>CONCATENATE(VLOOKUP(C90,'Butiksobjekt steg 2'!A:B,2,FALSE)," ",A90)</f>
        <v>Hemköp Falun C Pantkärl</v>
      </c>
      <c r="C90" s="43">
        <v>30</v>
      </c>
      <c r="D90" s="45">
        <f t="shared" ca="1" si="3"/>
        <v>20</v>
      </c>
      <c r="E90" s="46">
        <f t="shared" ca="1" si="4"/>
        <v>1</v>
      </c>
      <c r="F90" s="46" t="str">
        <f t="shared" si="5"/>
        <v>Pantkärl</v>
      </c>
      <c r="G90" s="46" t="s">
        <v>2470</v>
      </c>
    </row>
    <row r="91" spans="1:7">
      <c r="A91" s="43" t="s">
        <v>2461</v>
      </c>
      <c r="B91" s="50" t="str">
        <f>CONCATENATE(VLOOKUP(C91,'Butiksobjekt steg 2'!A:B,2,FALSE)," ",A91)</f>
        <v>Hemköp Falun C Matavfallskärl</v>
      </c>
      <c r="C91" s="43">
        <v>30</v>
      </c>
      <c r="D91" s="45">
        <f t="shared" ca="1" si="3"/>
        <v>36</v>
      </c>
      <c r="E91" s="46">
        <f t="shared" ca="1" si="4"/>
        <v>5</v>
      </c>
      <c r="F91" s="46" t="str">
        <f t="shared" si="5"/>
        <v>Matavfallskärl</v>
      </c>
      <c r="G91" s="46" t="s">
        <v>2468</v>
      </c>
    </row>
    <row r="92" spans="1:7">
      <c r="A92" s="43" t="s">
        <v>2462</v>
      </c>
      <c r="B92" s="50" t="str">
        <f>CONCATENATE(VLOOKUP(C92,'Butiksobjekt steg 2'!A:B,2,FALSE)," ",A92)</f>
        <v>Hemköp Falun C Kuundvagnsgarage</v>
      </c>
      <c r="C92" s="43">
        <v>30</v>
      </c>
      <c r="D92" s="45">
        <f t="shared" ca="1" si="3"/>
        <v>27</v>
      </c>
      <c r="E92" s="46">
        <f t="shared" ca="1" si="4"/>
        <v>2</v>
      </c>
      <c r="F92" s="46" t="str">
        <f t="shared" si="5"/>
        <v>Kuundvagnsgarage</v>
      </c>
      <c r="G92" s="46" t="s">
        <v>2469</v>
      </c>
    </row>
    <row r="93" spans="1:7">
      <c r="A93" s="43" t="s">
        <v>2460</v>
      </c>
      <c r="B93" s="50" t="str">
        <f>CONCATENATE(VLOOKUP(C93,'Butiksobjekt steg 2'!A:B,2,FALSE)," ",A93)</f>
        <v>Hemköp Falun Hosjö Pantkärl</v>
      </c>
      <c r="C93" s="43">
        <v>31</v>
      </c>
      <c r="D93" s="45">
        <f t="shared" ca="1" si="3"/>
        <v>51</v>
      </c>
      <c r="E93" s="46">
        <f t="shared" ca="1" si="4"/>
        <v>1</v>
      </c>
      <c r="F93" s="46" t="str">
        <f t="shared" si="5"/>
        <v>Pantkärl</v>
      </c>
      <c r="G93" s="46" t="s">
        <v>2470</v>
      </c>
    </row>
    <row r="94" spans="1:7">
      <c r="A94" s="43" t="s">
        <v>2461</v>
      </c>
      <c r="B94" s="50" t="str">
        <f>CONCATENATE(VLOOKUP(C94,'Butiksobjekt steg 2'!A:B,2,FALSE)," ",A94)</f>
        <v>Hemköp Falun Hosjö Matavfallskärl</v>
      </c>
      <c r="C94" s="43">
        <v>31</v>
      </c>
      <c r="D94" s="45">
        <f t="shared" ca="1" si="3"/>
        <v>53</v>
      </c>
      <c r="E94" s="46">
        <f t="shared" ca="1" si="4"/>
        <v>5</v>
      </c>
      <c r="F94" s="46" t="str">
        <f t="shared" si="5"/>
        <v>Matavfallskärl</v>
      </c>
      <c r="G94" s="46" t="s">
        <v>2468</v>
      </c>
    </row>
    <row r="95" spans="1:7">
      <c r="A95" s="43" t="s">
        <v>2462</v>
      </c>
      <c r="B95" s="50" t="str">
        <f>CONCATENATE(VLOOKUP(C95,'Butiksobjekt steg 2'!A:B,2,FALSE)," ",A95)</f>
        <v>Hemköp Falun Hosjö Kuundvagnsgarage</v>
      </c>
      <c r="C95" s="43">
        <v>31</v>
      </c>
      <c r="D95" s="45">
        <f t="shared" ca="1" si="3"/>
        <v>48</v>
      </c>
      <c r="E95" s="46">
        <f t="shared" ca="1" si="4"/>
        <v>3</v>
      </c>
      <c r="F95" s="46" t="str">
        <f t="shared" si="5"/>
        <v>Kuundvagnsgarage</v>
      </c>
      <c r="G95" s="46" t="s">
        <v>2469</v>
      </c>
    </row>
    <row r="96" spans="1:7">
      <c r="A96" s="43" t="s">
        <v>2460</v>
      </c>
      <c r="B96" s="50" t="str">
        <f>CONCATENATE(VLOOKUP(C96,'Butiksobjekt steg 2'!A:B,2,FALSE)," ",A96)</f>
        <v>Hemköp Fellingsbro C Pantkärl</v>
      </c>
      <c r="C96" s="43">
        <v>32</v>
      </c>
      <c r="D96" s="45">
        <f t="shared" ca="1" si="3"/>
        <v>13</v>
      </c>
      <c r="E96" s="46">
        <f t="shared" ca="1" si="4"/>
        <v>4</v>
      </c>
      <c r="F96" s="46" t="str">
        <f t="shared" si="5"/>
        <v>Pantkärl</v>
      </c>
      <c r="G96" s="46" t="s">
        <v>2470</v>
      </c>
    </row>
    <row r="97" spans="1:7">
      <c r="A97" s="43" t="s">
        <v>2461</v>
      </c>
      <c r="B97" s="50" t="str">
        <f>CONCATENATE(VLOOKUP(C97,'Butiksobjekt steg 2'!A:B,2,FALSE)," ",A97)</f>
        <v>Hemköp Fellingsbro C Matavfallskärl</v>
      </c>
      <c r="C97" s="43">
        <v>32</v>
      </c>
      <c r="D97" s="45">
        <f t="shared" ca="1" si="3"/>
        <v>21</v>
      </c>
      <c r="E97" s="46">
        <f t="shared" ca="1" si="4"/>
        <v>5</v>
      </c>
      <c r="F97" s="46" t="str">
        <f t="shared" si="5"/>
        <v>Matavfallskärl</v>
      </c>
      <c r="G97" s="46" t="s">
        <v>2468</v>
      </c>
    </row>
    <row r="98" spans="1:7">
      <c r="A98" s="43" t="s">
        <v>2462</v>
      </c>
      <c r="B98" s="50" t="str">
        <f>CONCATENATE(VLOOKUP(C98,'Butiksobjekt steg 2'!A:B,2,FALSE)," ",A98)</f>
        <v>Hemköp Fellingsbro C Kuundvagnsgarage</v>
      </c>
      <c r="C98" s="43">
        <v>32</v>
      </c>
      <c r="D98" s="45">
        <f t="shared" ca="1" si="3"/>
        <v>16</v>
      </c>
      <c r="E98" s="46">
        <f t="shared" ca="1" si="4"/>
        <v>5</v>
      </c>
      <c r="F98" s="46" t="str">
        <f t="shared" si="5"/>
        <v>Kuundvagnsgarage</v>
      </c>
      <c r="G98" s="46" t="s">
        <v>2469</v>
      </c>
    </row>
    <row r="99" spans="1:7">
      <c r="A99" s="43" t="s">
        <v>2460</v>
      </c>
      <c r="B99" s="50" t="str">
        <f>CONCATENATE(VLOOKUP(C99,'Butiksobjekt steg 2'!A:B,2,FALSE)," ",A99)</f>
        <v>Hemköp Gnesta Dansutvägen Pantkärl</v>
      </c>
      <c r="C99" s="43">
        <v>33</v>
      </c>
      <c r="D99" s="45">
        <f t="shared" ca="1" si="3"/>
        <v>22</v>
      </c>
      <c r="E99" s="46">
        <f t="shared" ca="1" si="4"/>
        <v>5</v>
      </c>
      <c r="F99" s="46" t="str">
        <f t="shared" si="5"/>
        <v>Pantkärl</v>
      </c>
      <c r="G99" s="46" t="s">
        <v>2470</v>
      </c>
    </row>
    <row r="100" spans="1:7">
      <c r="A100" s="43" t="s">
        <v>2461</v>
      </c>
      <c r="B100" s="50" t="str">
        <f>CONCATENATE(VLOOKUP(C100,'Butiksobjekt steg 2'!A:B,2,FALSE)," ",A100)</f>
        <v>Hemköp Gnesta Dansutvägen Matavfallskärl</v>
      </c>
      <c r="C100" s="43">
        <v>33</v>
      </c>
      <c r="D100" s="45">
        <f t="shared" ca="1" si="3"/>
        <v>24</v>
      </c>
      <c r="E100" s="46">
        <f t="shared" ca="1" si="4"/>
        <v>3</v>
      </c>
      <c r="F100" s="46" t="str">
        <f t="shared" si="5"/>
        <v>Matavfallskärl</v>
      </c>
      <c r="G100" s="46" t="s">
        <v>2468</v>
      </c>
    </row>
    <row r="101" spans="1:7">
      <c r="A101" s="43" t="s">
        <v>2462</v>
      </c>
      <c r="B101" s="50" t="str">
        <f>CONCATENATE(VLOOKUP(C101,'Butiksobjekt steg 2'!A:B,2,FALSE)," ",A101)</f>
        <v>Hemköp Gnesta Dansutvägen Kuundvagnsgarage</v>
      </c>
      <c r="C101" s="43">
        <v>33</v>
      </c>
      <c r="D101" s="45">
        <f t="shared" ca="1" si="3"/>
        <v>42</v>
      </c>
      <c r="E101" s="46">
        <f t="shared" ca="1" si="4"/>
        <v>1</v>
      </c>
      <c r="F101" s="46" t="str">
        <f t="shared" si="5"/>
        <v>Kuundvagnsgarage</v>
      </c>
      <c r="G101" s="46" t="s">
        <v>2469</v>
      </c>
    </row>
    <row r="102" spans="1:7">
      <c r="A102" s="43" t="s">
        <v>2460</v>
      </c>
      <c r="B102" s="50" t="str">
        <f>CONCATENATE(VLOOKUP(C102,'Butiksobjekt steg 2'!A:B,2,FALSE)," ",A102)</f>
        <v>Hemköp Grums Orrby Pantkärl</v>
      </c>
      <c r="C102" s="43">
        <v>34</v>
      </c>
      <c r="D102" s="45">
        <f t="shared" ca="1" si="3"/>
        <v>41</v>
      </c>
      <c r="E102" s="46">
        <f t="shared" ca="1" si="4"/>
        <v>4</v>
      </c>
      <c r="F102" s="46" t="str">
        <f t="shared" si="5"/>
        <v>Pantkärl</v>
      </c>
      <c r="G102" s="46" t="s">
        <v>2470</v>
      </c>
    </row>
    <row r="103" spans="1:7">
      <c r="A103" s="43" t="s">
        <v>2461</v>
      </c>
      <c r="B103" s="50" t="str">
        <f>CONCATENATE(VLOOKUP(C103,'Butiksobjekt steg 2'!A:B,2,FALSE)," ",A103)</f>
        <v>Hemköp Grums Orrby Matavfallskärl</v>
      </c>
      <c r="C103" s="43">
        <v>34</v>
      </c>
      <c r="D103" s="45">
        <f t="shared" ca="1" si="3"/>
        <v>18</v>
      </c>
      <c r="E103" s="46">
        <f t="shared" ca="1" si="4"/>
        <v>1</v>
      </c>
      <c r="F103" s="46" t="str">
        <f t="shared" si="5"/>
        <v>Matavfallskärl</v>
      </c>
      <c r="G103" s="46" t="s">
        <v>2468</v>
      </c>
    </row>
    <row r="104" spans="1:7">
      <c r="A104" s="43" t="s">
        <v>2462</v>
      </c>
      <c r="B104" s="50" t="str">
        <f>CONCATENATE(VLOOKUP(C104,'Butiksobjekt steg 2'!A:B,2,FALSE)," ",A104)</f>
        <v>Hemköp Grums Orrby Kuundvagnsgarage</v>
      </c>
      <c r="C104" s="43">
        <v>34</v>
      </c>
      <c r="D104" s="45">
        <f t="shared" ca="1" si="3"/>
        <v>10</v>
      </c>
      <c r="E104" s="46">
        <f t="shared" ca="1" si="4"/>
        <v>5</v>
      </c>
      <c r="F104" s="46" t="str">
        <f t="shared" si="5"/>
        <v>Kuundvagnsgarage</v>
      </c>
      <c r="G104" s="46" t="s">
        <v>2469</v>
      </c>
    </row>
    <row r="105" spans="1:7">
      <c r="A105" s="43" t="s">
        <v>2460</v>
      </c>
      <c r="B105" s="50" t="str">
        <f>CONCATENATE(VLOOKUP(C105,'Butiksobjekt steg 2'!A:B,2,FALSE)," ",A105)</f>
        <v>Hemköp Grästorp Södergatan Pantkärl</v>
      </c>
      <c r="C105" s="43">
        <v>35</v>
      </c>
      <c r="D105" s="45">
        <f t="shared" ca="1" si="3"/>
        <v>41</v>
      </c>
      <c r="E105" s="46">
        <f t="shared" ca="1" si="4"/>
        <v>5</v>
      </c>
      <c r="F105" s="46" t="str">
        <f t="shared" si="5"/>
        <v>Pantkärl</v>
      </c>
      <c r="G105" s="46" t="s">
        <v>2470</v>
      </c>
    </row>
    <row r="106" spans="1:7">
      <c r="A106" s="43" t="s">
        <v>2461</v>
      </c>
      <c r="B106" s="50" t="str">
        <f>CONCATENATE(VLOOKUP(C106,'Butiksobjekt steg 2'!A:B,2,FALSE)," ",A106)</f>
        <v>Hemköp Grästorp Södergatan Matavfallskärl</v>
      </c>
      <c r="C106" s="43">
        <v>35</v>
      </c>
      <c r="D106" s="45">
        <f t="shared" ca="1" si="3"/>
        <v>34</v>
      </c>
      <c r="E106" s="46">
        <f t="shared" ca="1" si="4"/>
        <v>4</v>
      </c>
      <c r="F106" s="46" t="str">
        <f t="shared" si="5"/>
        <v>Matavfallskärl</v>
      </c>
      <c r="G106" s="46" t="s">
        <v>2468</v>
      </c>
    </row>
    <row r="107" spans="1:7">
      <c r="A107" s="43" t="s">
        <v>2462</v>
      </c>
      <c r="B107" s="50" t="str">
        <f>CONCATENATE(VLOOKUP(C107,'Butiksobjekt steg 2'!A:B,2,FALSE)," ",A107)</f>
        <v>Hemköp Grästorp Södergatan Kuundvagnsgarage</v>
      </c>
      <c r="C107" s="43">
        <v>35</v>
      </c>
      <c r="D107" s="45">
        <f t="shared" ca="1" si="3"/>
        <v>25</v>
      </c>
      <c r="E107" s="46">
        <f t="shared" ca="1" si="4"/>
        <v>5</v>
      </c>
      <c r="F107" s="46" t="str">
        <f t="shared" si="5"/>
        <v>Kuundvagnsgarage</v>
      </c>
      <c r="G107" s="46" t="s">
        <v>2469</v>
      </c>
    </row>
    <row r="108" spans="1:7">
      <c r="A108" s="43" t="s">
        <v>2460</v>
      </c>
      <c r="B108" s="50" t="str">
        <f>CONCATENATE(VLOOKUP(C108,'Butiksobjekt steg 2'!A:B,2,FALSE)," ",A108)</f>
        <v>Hemköp Gustavsberg Hamnen Pantkärl</v>
      </c>
      <c r="C108" s="43">
        <v>36</v>
      </c>
      <c r="D108" s="45">
        <f t="shared" ca="1" si="3"/>
        <v>21</v>
      </c>
      <c r="E108" s="46">
        <f t="shared" ca="1" si="4"/>
        <v>4</v>
      </c>
      <c r="F108" s="46" t="str">
        <f t="shared" si="5"/>
        <v>Pantkärl</v>
      </c>
      <c r="G108" s="46" t="s">
        <v>2470</v>
      </c>
    </row>
    <row r="109" spans="1:7">
      <c r="A109" s="43" t="s">
        <v>2461</v>
      </c>
      <c r="B109" s="50" t="str">
        <f>CONCATENATE(VLOOKUP(C109,'Butiksobjekt steg 2'!A:B,2,FALSE)," ",A109)</f>
        <v>Hemköp Gustavsberg Hamnen Matavfallskärl</v>
      </c>
      <c r="C109" s="43">
        <v>36</v>
      </c>
      <c r="D109" s="45">
        <f t="shared" ca="1" si="3"/>
        <v>25</v>
      </c>
      <c r="E109" s="46">
        <f t="shared" ca="1" si="4"/>
        <v>5</v>
      </c>
      <c r="F109" s="46" t="str">
        <f t="shared" si="5"/>
        <v>Matavfallskärl</v>
      </c>
      <c r="G109" s="46" t="s">
        <v>2468</v>
      </c>
    </row>
    <row r="110" spans="1:7">
      <c r="A110" s="43" t="s">
        <v>2462</v>
      </c>
      <c r="B110" s="50" t="str">
        <f>CONCATENATE(VLOOKUP(C110,'Butiksobjekt steg 2'!A:B,2,FALSE)," ",A110)</f>
        <v>Hemköp Gustavsberg Hamnen Kuundvagnsgarage</v>
      </c>
      <c r="C110" s="43">
        <v>36</v>
      </c>
      <c r="D110" s="45">
        <f t="shared" ca="1" si="3"/>
        <v>14</v>
      </c>
      <c r="E110" s="46">
        <f t="shared" ca="1" si="4"/>
        <v>4</v>
      </c>
      <c r="F110" s="46" t="str">
        <f t="shared" si="5"/>
        <v>Kuundvagnsgarage</v>
      </c>
      <c r="G110" s="46" t="s">
        <v>2469</v>
      </c>
    </row>
    <row r="111" spans="1:7">
      <c r="A111" s="43" t="s">
        <v>2460</v>
      </c>
      <c r="B111" s="50" t="str">
        <f>CONCATENATE(VLOOKUP(C111,'Butiksobjekt steg 2'!A:B,2,FALSE)," ",A111)</f>
        <v>Hemköp Göteborg Annedal Pantkärl</v>
      </c>
      <c r="C111" s="43">
        <v>37</v>
      </c>
      <c r="D111" s="45">
        <f t="shared" ca="1" si="3"/>
        <v>43</v>
      </c>
      <c r="E111" s="46">
        <f t="shared" ca="1" si="4"/>
        <v>4</v>
      </c>
      <c r="F111" s="46" t="str">
        <f t="shared" si="5"/>
        <v>Pantkärl</v>
      </c>
      <c r="G111" s="46" t="s">
        <v>2470</v>
      </c>
    </row>
    <row r="112" spans="1:7">
      <c r="A112" s="43" t="s">
        <v>2461</v>
      </c>
      <c r="B112" s="50" t="str">
        <f>CONCATENATE(VLOOKUP(C112,'Butiksobjekt steg 2'!A:B,2,FALSE)," ",A112)</f>
        <v>Hemköp Göteborg Annedal Matavfallskärl</v>
      </c>
      <c r="C112" s="43">
        <v>37</v>
      </c>
      <c r="D112" s="45">
        <f t="shared" ca="1" si="3"/>
        <v>46</v>
      </c>
      <c r="E112" s="46">
        <f t="shared" ca="1" si="4"/>
        <v>2</v>
      </c>
      <c r="F112" s="46" t="str">
        <f t="shared" si="5"/>
        <v>Matavfallskärl</v>
      </c>
      <c r="G112" s="46" t="s">
        <v>2468</v>
      </c>
    </row>
    <row r="113" spans="1:7">
      <c r="A113" s="43" t="s">
        <v>2462</v>
      </c>
      <c r="B113" s="50" t="str">
        <f>CONCATENATE(VLOOKUP(C113,'Butiksobjekt steg 2'!A:B,2,FALSE)," ",A113)</f>
        <v>Hemköp Göteborg Annedal Kuundvagnsgarage</v>
      </c>
      <c r="C113" s="43">
        <v>37</v>
      </c>
      <c r="D113" s="45">
        <f t="shared" ca="1" si="3"/>
        <v>41</v>
      </c>
      <c r="E113" s="46">
        <f t="shared" ca="1" si="4"/>
        <v>5</v>
      </c>
      <c r="F113" s="46" t="str">
        <f t="shared" si="5"/>
        <v>Kuundvagnsgarage</v>
      </c>
      <c r="G113" s="46" t="s">
        <v>2469</v>
      </c>
    </row>
    <row r="114" spans="1:7">
      <c r="A114" s="43" t="s">
        <v>2460</v>
      </c>
      <c r="B114" s="50" t="str">
        <f>CONCATENATE(VLOOKUP(C114,'Butiksobjekt steg 2'!A:B,2,FALSE)," ",A114)</f>
        <v>Hemköp Göteborg Frölunda Torg Pantkärl</v>
      </c>
      <c r="C114" s="43">
        <v>38</v>
      </c>
      <c r="D114" s="45">
        <f t="shared" ca="1" si="3"/>
        <v>9</v>
      </c>
      <c r="E114" s="46">
        <f t="shared" ca="1" si="4"/>
        <v>2</v>
      </c>
      <c r="F114" s="46" t="str">
        <f t="shared" si="5"/>
        <v>Pantkärl</v>
      </c>
      <c r="G114" s="46" t="s">
        <v>2470</v>
      </c>
    </row>
    <row r="115" spans="1:7">
      <c r="A115" s="43" t="s">
        <v>2461</v>
      </c>
      <c r="B115" s="50" t="str">
        <f>CONCATENATE(VLOOKUP(C115,'Butiksobjekt steg 2'!A:B,2,FALSE)," ",A115)</f>
        <v>Hemköp Göteborg Frölunda Torg Matavfallskärl</v>
      </c>
      <c r="C115" s="43">
        <v>38</v>
      </c>
      <c r="D115" s="45">
        <f t="shared" ca="1" si="3"/>
        <v>27</v>
      </c>
      <c r="E115" s="46">
        <f t="shared" ca="1" si="4"/>
        <v>4</v>
      </c>
      <c r="F115" s="46" t="str">
        <f t="shared" si="5"/>
        <v>Matavfallskärl</v>
      </c>
      <c r="G115" s="46" t="s">
        <v>2468</v>
      </c>
    </row>
    <row r="116" spans="1:7">
      <c r="A116" s="43" t="s">
        <v>2462</v>
      </c>
      <c r="B116" s="50" t="str">
        <f>CONCATENATE(VLOOKUP(C116,'Butiksobjekt steg 2'!A:B,2,FALSE)," ",A116)</f>
        <v>Hemköp Göteborg Frölunda Torg Kuundvagnsgarage</v>
      </c>
      <c r="C116" s="43">
        <v>38</v>
      </c>
      <c r="D116" s="45">
        <f t="shared" ca="1" si="3"/>
        <v>29</v>
      </c>
      <c r="E116" s="46">
        <f t="shared" ca="1" si="4"/>
        <v>3</v>
      </c>
      <c r="F116" s="46" t="str">
        <f t="shared" si="5"/>
        <v>Kuundvagnsgarage</v>
      </c>
      <c r="G116" s="46" t="s">
        <v>2469</v>
      </c>
    </row>
    <row r="117" spans="1:7">
      <c r="A117" s="43" t="s">
        <v>2460</v>
      </c>
      <c r="B117" s="50" t="str">
        <f>CONCATENATE(VLOOKUP(C117,'Butiksobjekt steg 2'!A:B,2,FALSE)," ",A117)</f>
        <v>Hemköp Göteborg Guldheden Pantkärl</v>
      </c>
      <c r="C117" s="43">
        <v>39</v>
      </c>
      <c r="D117" s="45">
        <f t="shared" ca="1" si="3"/>
        <v>38</v>
      </c>
      <c r="E117" s="46">
        <f t="shared" ca="1" si="4"/>
        <v>2</v>
      </c>
      <c r="F117" s="46" t="str">
        <f t="shared" si="5"/>
        <v>Pantkärl</v>
      </c>
      <c r="G117" s="46" t="s">
        <v>2470</v>
      </c>
    </row>
    <row r="118" spans="1:7">
      <c r="A118" s="43" t="s">
        <v>2461</v>
      </c>
      <c r="B118" s="50" t="str">
        <f>CONCATENATE(VLOOKUP(C118,'Butiksobjekt steg 2'!A:B,2,FALSE)," ",A118)</f>
        <v>Hemköp Göteborg Guldheden Matavfallskärl</v>
      </c>
      <c r="C118" s="43">
        <v>39</v>
      </c>
      <c r="D118" s="45">
        <f t="shared" ca="1" si="3"/>
        <v>22</v>
      </c>
      <c r="E118" s="46">
        <f t="shared" ca="1" si="4"/>
        <v>2</v>
      </c>
      <c r="F118" s="46" t="str">
        <f t="shared" si="5"/>
        <v>Matavfallskärl</v>
      </c>
      <c r="G118" s="46" t="s">
        <v>2468</v>
      </c>
    </row>
    <row r="119" spans="1:7">
      <c r="A119" s="43" t="s">
        <v>2462</v>
      </c>
      <c r="B119" s="50" t="str">
        <f>CONCATENATE(VLOOKUP(C119,'Butiksobjekt steg 2'!A:B,2,FALSE)," ",A119)</f>
        <v>Hemköp Göteborg Guldheden Kuundvagnsgarage</v>
      </c>
      <c r="C119" s="43">
        <v>39</v>
      </c>
      <c r="D119" s="45">
        <f t="shared" ca="1" si="3"/>
        <v>23</v>
      </c>
      <c r="E119" s="46">
        <f t="shared" ca="1" si="4"/>
        <v>5</v>
      </c>
      <c r="F119" s="46" t="str">
        <f t="shared" si="5"/>
        <v>Kuundvagnsgarage</v>
      </c>
      <c r="G119" s="46" t="s">
        <v>2469</v>
      </c>
    </row>
    <row r="120" spans="1:7">
      <c r="A120" s="43" t="s">
        <v>2460</v>
      </c>
      <c r="B120" s="50" t="str">
        <f>CONCATENATE(VLOOKUP(C120,'Butiksobjekt steg 2'!A:B,2,FALSE)," ",A120)</f>
        <v>Hemköp Göteborg Högsbohöjd Pantkärl</v>
      </c>
      <c r="C120" s="43">
        <v>40</v>
      </c>
      <c r="D120" s="45">
        <f t="shared" ca="1" si="3"/>
        <v>19</v>
      </c>
      <c r="E120" s="46">
        <f t="shared" ca="1" si="4"/>
        <v>1</v>
      </c>
      <c r="F120" s="46" t="str">
        <f t="shared" si="5"/>
        <v>Pantkärl</v>
      </c>
      <c r="G120" s="46" t="s">
        <v>2470</v>
      </c>
    </row>
    <row r="121" spans="1:7">
      <c r="A121" s="43" t="s">
        <v>2461</v>
      </c>
      <c r="B121" s="50" t="str">
        <f>CONCATENATE(VLOOKUP(C121,'Butiksobjekt steg 2'!A:B,2,FALSE)," ",A121)</f>
        <v>Hemköp Göteborg Högsbohöjd Matavfallskärl</v>
      </c>
      <c r="C121" s="43">
        <v>40</v>
      </c>
      <c r="D121" s="45">
        <f t="shared" ca="1" si="3"/>
        <v>41</v>
      </c>
      <c r="E121" s="46">
        <f t="shared" ca="1" si="4"/>
        <v>5</v>
      </c>
      <c r="F121" s="46" t="str">
        <f t="shared" si="5"/>
        <v>Matavfallskärl</v>
      </c>
      <c r="G121" s="46" t="s">
        <v>2468</v>
      </c>
    </row>
    <row r="122" spans="1:7">
      <c r="A122" s="43" t="s">
        <v>2462</v>
      </c>
      <c r="B122" s="50" t="str">
        <f>CONCATENATE(VLOOKUP(C122,'Butiksobjekt steg 2'!A:B,2,FALSE)," ",A122)</f>
        <v>Hemköp Göteborg Högsbohöjd Kuundvagnsgarage</v>
      </c>
      <c r="C122" s="43">
        <v>40</v>
      </c>
      <c r="D122" s="45">
        <f t="shared" ca="1" si="3"/>
        <v>33</v>
      </c>
      <c r="E122" s="46">
        <f t="shared" ca="1" si="4"/>
        <v>5</v>
      </c>
      <c r="F122" s="46" t="str">
        <f t="shared" si="5"/>
        <v>Kuundvagnsgarage</v>
      </c>
      <c r="G122" s="46" t="s">
        <v>2469</v>
      </c>
    </row>
    <row r="123" spans="1:7">
      <c r="A123" s="43" t="s">
        <v>2460</v>
      </c>
      <c r="B123" s="50" t="str">
        <f>CONCATENATE(VLOOKUP(C123,'Butiksobjekt steg 2'!A:B,2,FALSE)," ",A123)</f>
        <v>Hemköp Göteborg Kortedala Torg Pantkärl</v>
      </c>
      <c r="C123" s="43">
        <v>41</v>
      </c>
      <c r="D123" s="45">
        <f t="shared" ca="1" si="3"/>
        <v>40</v>
      </c>
      <c r="E123" s="46">
        <f t="shared" ca="1" si="4"/>
        <v>1</v>
      </c>
      <c r="F123" s="46" t="str">
        <f t="shared" si="5"/>
        <v>Pantkärl</v>
      </c>
      <c r="G123" s="46" t="s">
        <v>2470</v>
      </c>
    </row>
    <row r="124" spans="1:7">
      <c r="A124" s="43" t="s">
        <v>2461</v>
      </c>
      <c r="B124" s="50" t="str">
        <f>CONCATENATE(VLOOKUP(C124,'Butiksobjekt steg 2'!A:B,2,FALSE)," ",A124)</f>
        <v>Hemköp Göteborg Kortedala Torg Matavfallskärl</v>
      </c>
      <c r="C124" s="43">
        <v>41</v>
      </c>
      <c r="D124" s="45">
        <f t="shared" ca="1" si="3"/>
        <v>13</v>
      </c>
      <c r="E124" s="46">
        <f t="shared" ca="1" si="4"/>
        <v>3</v>
      </c>
      <c r="F124" s="46" t="str">
        <f t="shared" si="5"/>
        <v>Matavfallskärl</v>
      </c>
      <c r="G124" s="46" t="s">
        <v>2468</v>
      </c>
    </row>
    <row r="125" spans="1:7">
      <c r="A125" s="43" t="s">
        <v>2462</v>
      </c>
      <c r="B125" s="50" t="str">
        <f>CONCATENATE(VLOOKUP(C125,'Butiksobjekt steg 2'!A:B,2,FALSE)," ",A125)</f>
        <v>Hemköp Göteborg Kortedala Torg Kuundvagnsgarage</v>
      </c>
      <c r="C125" s="43">
        <v>41</v>
      </c>
      <c r="D125" s="45">
        <f t="shared" ca="1" si="3"/>
        <v>49</v>
      </c>
      <c r="E125" s="46">
        <f t="shared" ca="1" si="4"/>
        <v>1</v>
      </c>
      <c r="F125" s="46" t="str">
        <f t="shared" si="5"/>
        <v>Kuundvagnsgarage</v>
      </c>
      <c r="G125" s="46" t="s">
        <v>2469</v>
      </c>
    </row>
    <row r="126" spans="1:7">
      <c r="A126" s="43" t="s">
        <v>2460</v>
      </c>
      <c r="B126" s="50" t="str">
        <f>CONCATENATE(VLOOKUP(C126,'Butiksobjekt steg 2'!A:B,2,FALSE)," ",A126)</f>
        <v>Hemköp Göteborg Linnégatan Pantkärl</v>
      </c>
      <c r="C126" s="43">
        <v>42</v>
      </c>
      <c r="D126" s="45">
        <f t="shared" ca="1" si="3"/>
        <v>29</v>
      </c>
      <c r="E126" s="46">
        <f t="shared" ca="1" si="4"/>
        <v>5</v>
      </c>
      <c r="F126" s="46" t="str">
        <f t="shared" si="5"/>
        <v>Pantkärl</v>
      </c>
      <c r="G126" s="46" t="s">
        <v>2470</v>
      </c>
    </row>
    <row r="127" spans="1:7">
      <c r="A127" s="43" t="s">
        <v>2461</v>
      </c>
      <c r="B127" s="50" t="str">
        <f>CONCATENATE(VLOOKUP(C127,'Butiksobjekt steg 2'!A:B,2,FALSE)," ",A127)</f>
        <v>Hemköp Göteborg Linnégatan Matavfallskärl</v>
      </c>
      <c r="C127" s="43">
        <v>42</v>
      </c>
      <c r="D127" s="45">
        <f t="shared" ca="1" si="3"/>
        <v>24</v>
      </c>
      <c r="E127" s="46">
        <f t="shared" ca="1" si="4"/>
        <v>1</v>
      </c>
      <c r="F127" s="46" t="str">
        <f t="shared" si="5"/>
        <v>Matavfallskärl</v>
      </c>
      <c r="G127" s="46" t="s">
        <v>2468</v>
      </c>
    </row>
    <row r="128" spans="1:7">
      <c r="A128" s="43" t="s">
        <v>2462</v>
      </c>
      <c r="B128" s="50" t="str">
        <f>CONCATENATE(VLOOKUP(C128,'Butiksobjekt steg 2'!A:B,2,FALSE)," ",A128)</f>
        <v>Hemköp Göteborg Linnégatan Kuundvagnsgarage</v>
      </c>
      <c r="C128" s="43">
        <v>42</v>
      </c>
      <c r="D128" s="45">
        <f t="shared" ca="1" si="3"/>
        <v>23</v>
      </c>
      <c r="E128" s="46">
        <f t="shared" ca="1" si="4"/>
        <v>3</v>
      </c>
      <c r="F128" s="46" t="str">
        <f t="shared" si="5"/>
        <v>Kuundvagnsgarage</v>
      </c>
      <c r="G128" s="46" t="s">
        <v>2469</v>
      </c>
    </row>
    <row r="129" spans="1:7">
      <c r="A129" s="43" t="s">
        <v>2460</v>
      </c>
      <c r="B129" s="50" t="str">
        <f>CONCATENATE(VLOOKUP(C129,'Butiksobjekt steg 2'!A:B,2,FALSE)," ",A129)</f>
        <v>Hemköp Göteborg Lundby Park Pantkärl</v>
      </c>
      <c r="C129" s="43">
        <v>43</v>
      </c>
      <c r="D129" s="45">
        <f t="shared" ca="1" si="3"/>
        <v>43</v>
      </c>
      <c r="E129" s="46">
        <f t="shared" ca="1" si="4"/>
        <v>4</v>
      </c>
      <c r="F129" s="46" t="str">
        <f t="shared" si="5"/>
        <v>Pantkärl</v>
      </c>
      <c r="G129" s="46" t="s">
        <v>2470</v>
      </c>
    </row>
    <row r="130" spans="1:7">
      <c r="A130" s="43" t="s">
        <v>2461</v>
      </c>
      <c r="B130" s="50" t="str">
        <f>CONCATENATE(VLOOKUP(C130,'Butiksobjekt steg 2'!A:B,2,FALSE)," ",A130)</f>
        <v>Hemköp Göteborg Lundby Park Matavfallskärl</v>
      </c>
      <c r="C130" s="43">
        <v>43</v>
      </c>
      <c r="D130" s="45">
        <f t="shared" ca="1" si="3"/>
        <v>18</v>
      </c>
      <c r="E130" s="46">
        <f t="shared" ca="1" si="4"/>
        <v>3</v>
      </c>
      <c r="F130" s="46" t="str">
        <f t="shared" si="5"/>
        <v>Matavfallskärl</v>
      </c>
      <c r="G130" s="46" t="s">
        <v>2468</v>
      </c>
    </row>
    <row r="131" spans="1:7">
      <c r="A131" s="43" t="s">
        <v>2462</v>
      </c>
      <c r="B131" s="50" t="str">
        <f>CONCATENATE(VLOOKUP(C131,'Butiksobjekt steg 2'!A:B,2,FALSE)," ",A131)</f>
        <v>Hemköp Göteborg Lundby Park Kuundvagnsgarage</v>
      </c>
      <c r="C131" s="43">
        <v>43</v>
      </c>
      <c r="D131" s="45">
        <f t="shared" ca="1" si="3"/>
        <v>29</v>
      </c>
      <c r="E131" s="46">
        <f t="shared" ca="1" si="4"/>
        <v>1</v>
      </c>
      <c r="F131" s="46" t="str">
        <f t="shared" si="5"/>
        <v>Kuundvagnsgarage</v>
      </c>
      <c r="G131" s="46" t="s">
        <v>2469</v>
      </c>
    </row>
    <row r="132" spans="1:7">
      <c r="A132" s="43" t="s">
        <v>2460</v>
      </c>
      <c r="B132" s="50" t="str">
        <f>CONCATENATE(VLOOKUP(C132,'Butiksobjekt steg 2'!A:B,2,FALSE)," ",A132)</f>
        <v>Hemköp Göteborg Långedrag Pantkärl</v>
      </c>
      <c r="C132" s="43">
        <v>44</v>
      </c>
      <c r="D132" s="45">
        <f t="shared" ref="D132:D195" ca="1" si="6">RANDBETWEEN(8,53)</f>
        <v>43</v>
      </c>
      <c r="E132" s="46">
        <f t="shared" ref="E132:E195" ca="1" si="7">RANDBETWEEN(1,5)</f>
        <v>2</v>
      </c>
      <c r="F132" s="46" t="str">
        <f t="shared" si="5"/>
        <v>Pantkärl</v>
      </c>
      <c r="G132" s="46" t="s">
        <v>2470</v>
      </c>
    </row>
    <row r="133" spans="1:7">
      <c r="A133" s="43" t="s">
        <v>2461</v>
      </c>
      <c r="B133" s="50" t="str">
        <f>CONCATENATE(VLOOKUP(C133,'Butiksobjekt steg 2'!A:B,2,FALSE)," ",A133)</f>
        <v>Hemköp Göteborg Långedrag Matavfallskärl</v>
      </c>
      <c r="C133" s="43">
        <v>44</v>
      </c>
      <c r="D133" s="45">
        <f t="shared" ca="1" si="6"/>
        <v>31</v>
      </c>
      <c r="E133" s="46">
        <f t="shared" ca="1" si="7"/>
        <v>5</v>
      </c>
      <c r="F133" s="46" t="str">
        <f t="shared" ref="F133:F196" si="8">A133</f>
        <v>Matavfallskärl</v>
      </c>
      <c r="G133" s="46" t="s">
        <v>2468</v>
      </c>
    </row>
    <row r="134" spans="1:7">
      <c r="A134" s="43" t="s">
        <v>2462</v>
      </c>
      <c r="B134" s="50" t="str">
        <f>CONCATENATE(VLOOKUP(C134,'Butiksobjekt steg 2'!A:B,2,FALSE)," ",A134)</f>
        <v>Hemköp Göteborg Långedrag Kuundvagnsgarage</v>
      </c>
      <c r="C134" s="43">
        <v>44</v>
      </c>
      <c r="D134" s="45">
        <f t="shared" ca="1" si="6"/>
        <v>41</v>
      </c>
      <c r="E134" s="46">
        <f t="shared" ca="1" si="7"/>
        <v>2</v>
      </c>
      <c r="F134" s="46" t="str">
        <f t="shared" si="8"/>
        <v>Kuundvagnsgarage</v>
      </c>
      <c r="G134" s="46" t="s">
        <v>2469</v>
      </c>
    </row>
    <row r="135" spans="1:7">
      <c r="A135" s="43" t="s">
        <v>2460</v>
      </c>
      <c r="B135" s="50" t="str">
        <f>CONCATENATE(VLOOKUP(C135,'Butiksobjekt steg 2'!A:B,2,FALSE)," ",A135)</f>
        <v>Hemköp Göteborg Majorna Pantkärl</v>
      </c>
      <c r="C135" s="43">
        <v>45</v>
      </c>
      <c r="D135" s="45">
        <f t="shared" ca="1" si="6"/>
        <v>44</v>
      </c>
      <c r="E135" s="46">
        <f t="shared" ca="1" si="7"/>
        <v>2</v>
      </c>
      <c r="F135" s="46" t="str">
        <f t="shared" si="8"/>
        <v>Pantkärl</v>
      </c>
      <c r="G135" s="46" t="s">
        <v>2470</v>
      </c>
    </row>
    <row r="136" spans="1:7">
      <c r="A136" s="43" t="s">
        <v>2461</v>
      </c>
      <c r="B136" s="50" t="str">
        <f>CONCATENATE(VLOOKUP(C136,'Butiksobjekt steg 2'!A:B,2,FALSE)," ",A136)</f>
        <v>Hemköp Göteborg Majorna Matavfallskärl</v>
      </c>
      <c r="C136" s="43">
        <v>45</v>
      </c>
      <c r="D136" s="45">
        <f t="shared" ca="1" si="6"/>
        <v>33</v>
      </c>
      <c r="E136" s="46">
        <f t="shared" ca="1" si="7"/>
        <v>1</v>
      </c>
      <c r="F136" s="46" t="str">
        <f t="shared" si="8"/>
        <v>Matavfallskärl</v>
      </c>
      <c r="G136" s="46" t="s">
        <v>2468</v>
      </c>
    </row>
    <row r="137" spans="1:7">
      <c r="A137" s="43" t="s">
        <v>2462</v>
      </c>
      <c r="B137" s="50" t="str">
        <f>CONCATENATE(VLOOKUP(C137,'Butiksobjekt steg 2'!A:B,2,FALSE)," ",A137)</f>
        <v>Hemköp Göteborg Majorna Kuundvagnsgarage</v>
      </c>
      <c r="C137" s="43">
        <v>45</v>
      </c>
      <c r="D137" s="45">
        <f t="shared" ca="1" si="6"/>
        <v>29</v>
      </c>
      <c r="E137" s="46">
        <f t="shared" ca="1" si="7"/>
        <v>5</v>
      </c>
      <c r="F137" s="46" t="str">
        <f t="shared" si="8"/>
        <v>Kuundvagnsgarage</v>
      </c>
      <c r="G137" s="46" t="s">
        <v>2469</v>
      </c>
    </row>
    <row r="138" spans="1:7">
      <c r="A138" s="43" t="s">
        <v>2460</v>
      </c>
      <c r="B138" s="50" t="str">
        <f>CONCATENATE(VLOOKUP(C138,'Butiksobjekt steg 2'!A:B,2,FALSE)," ",A138)</f>
        <v>Hemköp Göteborg Masthuggstorget Pantkärl</v>
      </c>
      <c r="C138" s="43">
        <v>46</v>
      </c>
      <c r="D138" s="45">
        <f t="shared" ca="1" si="6"/>
        <v>27</v>
      </c>
      <c r="E138" s="46">
        <f t="shared" ca="1" si="7"/>
        <v>1</v>
      </c>
      <c r="F138" s="46" t="str">
        <f t="shared" si="8"/>
        <v>Pantkärl</v>
      </c>
      <c r="G138" s="46" t="s">
        <v>2470</v>
      </c>
    </row>
    <row r="139" spans="1:7">
      <c r="A139" s="43" t="s">
        <v>2461</v>
      </c>
      <c r="B139" s="50" t="str">
        <f>CONCATENATE(VLOOKUP(C139,'Butiksobjekt steg 2'!A:B,2,FALSE)," ",A139)</f>
        <v>Hemköp Göteborg Masthuggstorget Matavfallskärl</v>
      </c>
      <c r="C139" s="43">
        <v>46</v>
      </c>
      <c r="D139" s="45">
        <f t="shared" ca="1" si="6"/>
        <v>48</v>
      </c>
      <c r="E139" s="46">
        <f t="shared" ca="1" si="7"/>
        <v>1</v>
      </c>
      <c r="F139" s="46" t="str">
        <f t="shared" si="8"/>
        <v>Matavfallskärl</v>
      </c>
      <c r="G139" s="46" t="s">
        <v>2468</v>
      </c>
    </row>
    <row r="140" spans="1:7">
      <c r="A140" s="43" t="s">
        <v>2462</v>
      </c>
      <c r="B140" s="50" t="str">
        <f>CONCATENATE(VLOOKUP(C140,'Butiksobjekt steg 2'!A:B,2,FALSE)," ",A140)</f>
        <v>Hemköp Göteborg Masthuggstorget Kuundvagnsgarage</v>
      </c>
      <c r="C140" s="43">
        <v>46</v>
      </c>
      <c r="D140" s="45">
        <f t="shared" ca="1" si="6"/>
        <v>45</v>
      </c>
      <c r="E140" s="46">
        <f t="shared" ca="1" si="7"/>
        <v>2</v>
      </c>
      <c r="F140" s="46" t="str">
        <f t="shared" si="8"/>
        <v>Kuundvagnsgarage</v>
      </c>
      <c r="G140" s="46" t="s">
        <v>2469</v>
      </c>
    </row>
    <row r="141" spans="1:7">
      <c r="A141" s="43" t="s">
        <v>2460</v>
      </c>
      <c r="B141" s="50" t="str">
        <f>CONCATENATE(VLOOKUP(C141,'Butiksobjekt steg 2'!A:B,2,FALSE)," ",A141)</f>
        <v>Hemköp Göteborg Nordenskiöldsgatan Pantkärl</v>
      </c>
      <c r="C141" s="43">
        <v>47</v>
      </c>
      <c r="D141" s="45">
        <f t="shared" ca="1" si="6"/>
        <v>10</v>
      </c>
      <c r="E141" s="46">
        <f t="shared" ca="1" si="7"/>
        <v>3</v>
      </c>
      <c r="F141" s="46" t="str">
        <f t="shared" si="8"/>
        <v>Pantkärl</v>
      </c>
      <c r="G141" s="46" t="s">
        <v>2470</v>
      </c>
    </row>
    <row r="142" spans="1:7">
      <c r="A142" s="43" t="s">
        <v>2461</v>
      </c>
      <c r="B142" s="50" t="str">
        <f>CONCATENATE(VLOOKUP(C142,'Butiksobjekt steg 2'!A:B,2,FALSE)," ",A142)</f>
        <v>Hemköp Göteborg Nordenskiöldsgatan Matavfallskärl</v>
      </c>
      <c r="C142" s="43">
        <v>47</v>
      </c>
      <c r="D142" s="45">
        <f t="shared" ca="1" si="6"/>
        <v>19</v>
      </c>
      <c r="E142" s="46">
        <f t="shared" ca="1" si="7"/>
        <v>1</v>
      </c>
      <c r="F142" s="46" t="str">
        <f t="shared" si="8"/>
        <v>Matavfallskärl</v>
      </c>
      <c r="G142" s="46" t="s">
        <v>2468</v>
      </c>
    </row>
    <row r="143" spans="1:7">
      <c r="A143" s="43" t="s">
        <v>2462</v>
      </c>
      <c r="B143" s="50" t="str">
        <f>CONCATENATE(VLOOKUP(C143,'Butiksobjekt steg 2'!A:B,2,FALSE)," ",A143)</f>
        <v>Hemköp Göteborg Nordenskiöldsgatan Kuundvagnsgarage</v>
      </c>
      <c r="C143" s="43">
        <v>47</v>
      </c>
      <c r="D143" s="45">
        <f t="shared" ca="1" si="6"/>
        <v>32</v>
      </c>
      <c r="E143" s="46">
        <f t="shared" ca="1" si="7"/>
        <v>4</v>
      </c>
      <c r="F143" s="46" t="str">
        <f t="shared" si="8"/>
        <v>Kuundvagnsgarage</v>
      </c>
      <c r="G143" s="46" t="s">
        <v>2469</v>
      </c>
    </row>
    <row r="144" spans="1:7">
      <c r="A144" s="43" t="s">
        <v>2460</v>
      </c>
      <c r="B144" s="50" t="str">
        <f>CONCATENATE(VLOOKUP(C144,'Butiksobjekt steg 2'!A:B,2,FALSE)," ",A144)</f>
        <v>Hemköp Göteborg Nordstan Pantkärl</v>
      </c>
      <c r="C144" s="43">
        <v>48</v>
      </c>
      <c r="D144" s="45">
        <f t="shared" ca="1" si="6"/>
        <v>32</v>
      </c>
      <c r="E144" s="46">
        <f t="shared" ca="1" si="7"/>
        <v>5</v>
      </c>
      <c r="F144" s="46" t="str">
        <f t="shared" si="8"/>
        <v>Pantkärl</v>
      </c>
      <c r="G144" s="46" t="s">
        <v>2470</v>
      </c>
    </row>
    <row r="145" spans="1:7">
      <c r="A145" s="43" t="s">
        <v>2461</v>
      </c>
      <c r="B145" s="50" t="str">
        <f>CONCATENATE(VLOOKUP(C145,'Butiksobjekt steg 2'!A:B,2,FALSE)," ",A145)</f>
        <v>Hemköp Göteborg Nordstan Matavfallskärl</v>
      </c>
      <c r="C145" s="43">
        <v>48</v>
      </c>
      <c r="D145" s="45">
        <f t="shared" ca="1" si="6"/>
        <v>29</v>
      </c>
      <c r="E145" s="46">
        <f t="shared" ca="1" si="7"/>
        <v>2</v>
      </c>
      <c r="F145" s="46" t="str">
        <f t="shared" si="8"/>
        <v>Matavfallskärl</v>
      </c>
      <c r="G145" s="46" t="s">
        <v>2468</v>
      </c>
    </row>
    <row r="146" spans="1:7">
      <c r="A146" s="43" t="s">
        <v>2462</v>
      </c>
      <c r="B146" s="50" t="str">
        <f>CONCATENATE(VLOOKUP(C146,'Butiksobjekt steg 2'!A:B,2,FALSE)," ",A146)</f>
        <v>Hemköp Göteborg Nordstan Kuundvagnsgarage</v>
      </c>
      <c r="C146" s="43">
        <v>48</v>
      </c>
      <c r="D146" s="45">
        <f t="shared" ca="1" si="6"/>
        <v>21</v>
      </c>
      <c r="E146" s="46">
        <f t="shared" ca="1" si="7"/>
        <v>1</v>
      </c>
      <c r="F146" s="46" t="str">
        <f t="shared" si="8"/>
        <v>Kuundvagnsgarage</v>
      </c>
      <c r="G146" s="46" t="s">
        <v>2469</v>
      </c>
    </row>
    <row r="147" spans="1:7">
      <c r="A147" s="43" t="s">
        <v>2460</v>
      </c>
      <c r="B147" s="50" t="str">
        <f>CONCATENATE(VLOOKUP(C147,'Butiksobjekt steg 2'!A:B,2,FALSE)," ",A147)</f>
        <v>Hemköp Göteborg Opaltorget Pantkärl</v>
      </c>
      <c r="C147" s="43">
        <v>49</v>
      </c>
      <c r="D147" s="45">
        <f t="shared" ca="1" si="6"/>
        <v>26</v>
      </c>
      <c r="E147" s="46">
        <f t="shared" ca="1" si="7"/>
        <v>4</v>
      </c>
      <c r="F147" s="46" t="str">
        <f t="shared" si="8"/>
        <v>Pantkärl</v>
      </c>
      <c r="G147" s="46" t="s">
        <v>2470</v>
      </c>
    </row>
    <row r="148" spans="1:7">
      <c r="A148" s="43" t="s">
        <v>2461</v>
      </c>
      <c r="B148" s="50" t="str">
        <f>CONCATENATE(VLOOKUP(C148,'Butiksobjekt steg 2'!A:B,2,FALSE)," ",A148)</f>
        <v>Hemköp Göteborg Opaltorget Matavfallskärl</v>
      </c>
      <c r="C148" s="43">
        <v>49</v>
      </c>
      <c r="D148" s="45">
        <f t="shared" ca="1" si="6"/>
        <v>16</v>
      </c>
      <c r="E148" s="46">
        <f t="shared" ca="1" si="7"/>
        <v>2</v>
      </c>
      <c r="F148" s="46" t="str">
        <f t="shared" si="8"/>
        <v>Matavfallskärl</v>
      </c>
      <c r="G148" s="46" t="s">
        <v>2468</v>
      </c>
    </row>
    <row r="149" spans="1:7">
      <c r="A149" s="43" t="s">
        <v>2462</v>
      </c>
      <c r="B149" s="50" t="str">
        <f>CONCATENATE(VLOOKUP(C149,'Butiksobjekt steg 2'!A:B,2,FALSE)," ",A149)</f>
        <v>Hemköp Göteborg Opaltorget Kuundvagnsgarage</v>
      </c>
      <c r="C149" s="43">
        <v>49</v>
      </c>
      <c r="D149" s="45">
        <f t="shared" ca="1" si="6"/>
        <v>46</v>
      </c>
      <c r="E149" s="46">
        <f t="shared" ca="1" si="7"/>
        <v>5</v>
      </c>
      <c r="F149" s="46" t="str">
        <f t="shared" si="8"/>
        <v>Kuundvagnsgarage</v>
      </c>
      <c r="G149" s="46" t="s">
        <v>2469</v>
      </c>
    </row>
    <row r="150" spans="1:7">
      <c r="A150" s="43" t="s">
        <v>2460</v>
      </c>
      <c r="B150" s="50" t="str">
        <f>CONCATENATE(VLOOKUP(C150,'Butiksobjekt steg 2'!A:B,2,FALSE)," ",A150)</f>
        <v>Hemköp Göteborg Selma Lagerlöfs Torg Pantkärl</v>
      </c>
      <c r="C150" s="43">
        <v>50</v>
      </c>
      <c r="D150" s="45">
        <f t="shared" ca="1" si="6"/>
        <v>19</v>
      </c>
      <c r="E150" s="46">
        <f t="shared" ca="1" si="7"/>
        <v>1</v>
      </c>
      <c r="F150" s="46" t="str">
        <f t="shared" si="8"/>
        <v>Pantkärl</v>
      </c>
      <c r="G150" s="46" t="s">
        <v>2470</v>
      </c>
    </row>
    <row r="151" spans="1:7">
      <c r="A151" s="43" t="s">
        <v>2461</v>
      </c>
      <c r="B151" s="50" t="str">
        <f>CONCATENATE(VLOOKUP(C151,'Butiksobjekt steg 2'!A:B,2,FALSE)," ",A151)</f>
        <v>Hemköp Göteborg Selma Lagerlöfs Torg Matavfallskärl</v>
      </c>
      <c r="C151" s="43">
        <v>50</v>
      </c>
      <c r="D151" s="45">
        <f t="shared" ca="1" si="6"/>
        <v>27</v>
      </c>
      <c r="E151" s="46">
        <f t="shared" ca="1" si="7"/>
        <v>3</v>
      </c>
      <c r="F151" s="46" t="str">
        <f t="shared" si="8"/>
        <v>Matavfallskärl</v>
      </c>
      <c r="G151" s="46" t="s">
        <v>2468</v>
      </c>
    </row>
    <row r="152" spans="1:7">
      <c r="A152" s="43" t="s">
        <v>2462</v>
      </c>
      <c r="B152" s="50" t="str">
        <f>CONCATENATE(VLOOKUP(C152,'Butiksobjekt steg 2'!A:B,2,FALSE)," ",A152)</f>
        <v>Hemköp Göteborg Selma Lagerlöfs Torg Kuundvagnsgarage</v>
      </c>
      <c r="C152" s="43">
        <v>50</v>
      </c>
      <c r="D152" s="45">
        <f t="shared" ca="1" si="6"/>
        <v>32</v>
      </c>
      <c r="E152" s="46">
        <f t="shared" ca="1" si="7"/>
        <v>5</v>
      </c>
      <c r="F152" s="46" t="str">
        <f t="shared" si="8"/>
        <v>Kuundvagnsgarage</v>
      </c>
      <c r="G152" s="46" t="s">
        <v>2469</v>
      </c>
    </row>
    <row r="153" spans="1:7">
      <c r="A153" s="43" t="s">
        <v>2460</v>
      </c>
      <c r="B153" s="50" t="str">
        <f>CONCATENATE(VLOOKUP(C153,'Butiksobjekt steg 2'!A:B,2,FALSE)," ",A153)</f>
        <v>Hemköp Göteborg Stigbergstorget Pantkärl</v>
      </c>
      <c r="C153" s="43">
        <v>51</v>
      </c>
      <c r="D153" s="45">
        <f t="shared" ca="1" si="6"/>
        <v>52</v>
      </c>
      <c r="E153" s="46">
        <f t="shared" ca="1" si="7"/>
        <v>5</v>
      </c>
      <c r="F153" s="46" t="str">
        <f t="shared" si="8"/>
        <v>Pantkärl</v>
      </c>
      <c r="G153" s="46" t="s">
        <v>2470</v>
      </c>
    </row>
    <row r="154" spans="1:7">
      <c r="A154" s="43" t="s">
        <v>2461</v>
      </c>
      <c r="B154" s="50" t="str">
        <f>CONCATENATE(VLOOKUP(C154,'Butiksobjekt steg 2'!A:B,2,FALSE)," ",A154)</f>
        <v>Hemköp Göteborg Stigbergstorget Matavfallskärl</v>
      </c>
      <c r="C154" s="43">
        <v>51</v>
      </c>
      <c r="D154" s="45">
        <f t="shared" ca="1" si="6"/>
        <v>37</v>
      </c>
      <c r="E154" s="46">
        <f t="shared" ca="1" si="7"/>
        <v>5</v>
      </c>
      <c r="F154" s="46" t="str">
        <f t="shared" si="8"/>
        <v>Matavfallskärl</v>
      </c>
      <c r="G154" s="46" t="s">
        <v>2468</v>
      </c>
    </row>
    <row r="155" spans="1:7">
      <c r="A155" s="43" t="s">
        <v>2462</v>
      </c>
      <c r="B155" s="50" t="str">
        <f>CONCATENATE(VLOOKUP(C155,'Butiksobjekt steg 2'!A:B,2,FALSE)," ",A155)</f>
        <v>Hemköp Göteborg Stigbergstorget Kuundvagnsgarage</v>
      </c>
      <c r="C155" s="43">
        <v>51</v>
      </c>
      <c r="D155" s="45">
        <f t="shared" ca="1" si="6"/>
        <v>45</v>
      </c>
      <c r="E155" s="46">
        <f t="shared" ca="1" si="7"/>
        <v>4</v>
      </c>
      <c r="F155" s="46" t="str">
        <f t="shared" si="8"/>
        <v>Kuundvagnsgarage</v>
      </c>
      <c r="G155" s="46" t="s">
        <v>2469</v>
      </c>
    </row>
    <row r="156" spans="1:7">
      <c r="A156" s="43" t="s">
        <v>2460</v>
      </c>
      <c r="B156" s="50" t="str">
        <f>CONCATENATE(VLOOKUP(C156,'Butiksobjekt steg 2'!A:B,2,FALSE)," ",A156)</f>
        <v>Hemköp Göteborg Torslanda C Pantkärl</v>
      </c>
      <c r="C156" s="43">
        <v>52</v>
      </c>
      <c r="D156" s="45">
        <f t="shared" ca="1" si="6"/>
        <v>12</v>
      </c>
      <c r="E156" s="46">
        <f t="shared" ca="1" si="7"/>
        <v>4</v>
      </c>
      <c r="F156" s="46" t="str">
        <f t="shared" si="8"/>
        <v>Pantkärl</v>
      </c>
      <c r="G156" s="46" t="s">
        <v>2470</v>
      </c>
    </row>
    <row r="157" spans="1:7">
      <c r="A157" s="43" t="s">
        <v>2461</v>
      </c>
      <c r="B157" s="50" t="str">
        <f>CONCATENATE(VLOOKUP(C157,'Butiksobjekt steg 2'!A:B,2,FALSE)," ",A157)</f>
        <v>Hemköp Göteborg Torslanda C Matavfallskärl</v>
      </c>
      <c r="C157" s="43">
        <v>52</v>
      </c>
      <c r="D157" s="45">
        <f t="shared" ca="1" si="6"/>
        <v>47</v>
      </c>
      <c r="E157" s="46">
        <f t="shared" ca="1" si="7"/>
        <v>5</v>
      </c>
      <c r="F157" s="46" t="str">
        <f t="shared" si="8"/>
        <v>Matavfallskärl</v>
      </c>
      <c r="G157" s="46" t="s">
        <v>2468</v>
      </c>
    </row>
    <row r="158" spans="1:7">
      <c r="A158" s="43" t="s">
        <v>2462</v>
      </c>
      <c r="B158" s="50" t="str">
        <f>CONCATENATE(VLOOKUP(C158,'Butiksobjekt steg 2'!A:B,2,FALSE)," ",A158)</f>
        <v>Hemköp Göteborg Torslanda C Kuundvagnsgarage</v>
      </c>
      <c r="C158" s="43">
        <v>52</v>
      </c>
      <c r="D158" s="45">
        <f t="shared" ca="1" si="6"/>
        <v>28</v>
      </c>
      <c r="E158" s="46">
        <f t="shared" ca="1" si="7"/>
        <v>5</v>
      </c>
      <c r="F158" s="46" t="str">
        <f t="shared" si="8"/>
        <v>Kuundvagnsgarage</v>
      </c>
      <c r="G158" s="46" t="s">
        <v>2469</v>
      </c>
    </row>
    <row r="159" spans="1:7">
      <c r="A159" s="43" t="s">
        <v>2460</v>
      </c>
      <c r="B159" s="50" t="str">
        <f>CONCATENATE(VLOOKUP(C159,'Butiksobjekt steg 2'!A:B,2,FALSE)," ",A159)</f>
        <v>Hemköp Göteborg Vasagatan Pantkärl</v>
      </c>
      <c r="C159" s="43">
        <v>53</v>
      </c>
      <c r="D159" s="45">
        <f t="shared" ca="1" si="6"/>
        <v>31</v>
      </c>
      <c r="E159" s="46">
        <f t="shared" ca="1" si="7"/>
        <v>1</v>
      </c>
      <c r="F159" s="46" t="str">
        <f t="shared" si="8"/>
        <v>Pantkärl</v>
      </c>
      <c r="G159" s="46" t="s">
        <v>2470</v>
      </c>
    </row>
    <row r="160" spans="1:7">
      <c r="A160" s="43" t="s">
        <v>2461</v>
      </c>
      <c r="B160" s="50" t="str">
        <f>CONCATENATE(VLOOKUP(C160,'Butiksobjekt steg 2'!A:B,2,FALSE)," ",A160)</f>
        <v>Hemköp Göteborg Vasagatan Matavfallskärl</v>
      </c>
      <c r="C160" s="43">
        <v>53</v>
      </c>
      <c r="D160" s="45">
        <f t="shared" ca="1" si="6"/>
        <v>16</v>
      </c>
      <c r="E160" s="46">
        <f t="shared" ca="1" si="7"/>
        <v>1</v>
      </c>
      <c r="F160" s="46" t="str">
        <f t="shared" si="8"/>
        <v>Matavfallskärl</v>
      </c>
      <c r="G160" s="46" t="s">
        <v>2468</v>
      </c>
    </row>
    <row r="161" spans="1:7">
      <c r="A161" s="43" t="s">
        <v>2462</v>
      </c>
      <c r="B161" s="50" t="str">
        <f>CONCATENATE(VLOOKUP(C161,'Butiksobjekt steg 2'!A:B,2,FALSE)," ",A161)</f>
        <v>Hemköp Göteborg Vasagatan Kuundvagnsgarage</v>
      </c>
      <c r="C161" s="43">
        <v>53</v>
      </c>
      <c r="D161" s="45">
        <f t="shared" ca="1" si="6"/>
        <v>49</v>
      </c>
      <c r="E161" s="46">
        <f t="shared" ca="1" si="7"/>
        <v>1</v>
      </c>
      <c r="F161" s="46" t="str">
        <f t="shared" si="8"/>
        <v>Kuundvagnsgarage</v>
      </c>
      <c r="G161" s="46" t="s">
        <v>2469</v>
      </c>
    </row>
    <row r="162" spans="1:7">
      <c r="A162" s="43" t="s">
        <v>2460</v>
      </c>
      <c r="B162" s="50" t="str">
        <f>CONCATENATE(VLOOKUP(C162,'Butiksobjekt steg 2'!A:B,2,FALSE)," ",A162)</f>
        <v>Hemköp Halmstad C Pantkärl</v>
      </c>
      <c r="C162" s="43">
        <v>54</v>
      </c>
      <c r="D162" s="45">
        <f t="shared" ca="1" si="6"/>
        <v>33</v>
      </c>
      <c r="E162" s="46">
        <f t="shared" ca="1" si="7"/>
        <v>5</v>
      </c>
      <c r="F162" s="46" t="str">
        <f t="shared" si="8"/>
        <v>Pantkärl</v>
      </c>
      <c r="G162" s="46" t="s">
        <v>2470</v>
      </c>
    </row>
    <row r="163" spans="1:7">
      <c r="A163" s="43" t="s">
        <v>2461</v>
      </c>
      <c r="B163" s="50" t="str">
        <f>CONCATENATE(VLOOKUP(C163,'Butiksobjekt steg 2'!A:B,2,FALSE)," ",A163)</f>
        <v>Hemköp Halmstad C Matavfallskärl</v>
      </c>
      <c r="C163" s="43">
        <v>54</v>
      </c>
      <c r="D163" s="45">
        <f t="shared" ca="1" si="6"/>
        <v>45</v>
      </c>
      <c r="E163" s="46">
        <f t="shared" ca="1" si="7"/>
        <v>2</v>
      </c>
      <c r="F163" s="46" t="str">
        <f t="shared" si="8"/>
        <v>Matavfallskärl</v>
      </c>
      <c r="G163" s="46" t="s">
        <v>2468</v>
      </c>
    </row>
    <row r="164" spans="1:7">
      <c r="A164" s="43" t="s">
        <v>2462</v>
      </c>
      <c r="B164" s="50" t="str">
        <f>CONCATENATE(VLOOKUP(C164,'Butiksobjekt steg 2'!A:B,2,FALSE)," ",A164)</f>
        <v>Hemköp Halmstad C Kuundvagnsgarage</v>
      </c>
      <c r="C164" s="43">
        <v>54</v>
      </c>
      <c r="D164" s="45">
        <f t="shared" ca="1" si="6"/>
        <v>43</v>
      </c>
      <c r="E164" s="46">
        <f t="shared" ca="1" si="7"/>
        <v>1</v>
      </c>
      <c r="F164" s="46" t="str">
        <f t="shared" si="8"/>
        <v>Kuundvagnsgarage</v>
      </c>
      <c r="G164" s="46" t="s">
        <v>2469</v>
      </c>
    </row>
    <row r="165" spans="1:7">
      <c r="A165" s="43" t="s">
        <v>2460</v>
      </c>
      <c r="B165" s="50" t="str">
        <f>CONCATENATE(VLOOKUP(C165,'Butiksobjekt steg 2'!A:B,2,FALSE)," ",A165)</f>
        <v>Hemköp Haninge C  Pantkärl</v>
      </c>
      <c r="C165" s="43">
        <v>55</v>
      </c>
      <c r="D165" s="45">
        <f t="shared" ca="1" si="6"/>
        <v>30</v>
      </c>
      <c r="E165" s="46">
        <f t="shared" ca="1" si="7"/>
        <v>2</v>
      </c>
      <c r="F165" s="46" t="str">
        <f t="shared" si="8"/>
        <v>Pantkärl</v>
      </c>
      <c r="G165" s="46" t="s">
        <v>2470</v>
      </c>
    </row>
    <row r="166" spans="1:7">
      <c r="A166" s="43" t="s">
        <v>2461</v>
      </c>
      <c r="B166" s="50" t="str">
        <f>CONCATENATE(VLOOKUP(C166,'Butiksobjekt steg 2'!A:B,2,FALSE)," ",A166)</f>
        <v>Hemköp Haninge C  Matavfallskärl</v>
      </c>
      <c r="C166" s="43">
        <v>55</v>
      </c>
      <c r="D166" s="45">
        <f t="shared" ca="1" si="6"/>
        <v>19</v>
      </c>
      <c r="E166" s="46">
        <f t="shared" ca="1" si="7"/>
        <v>4</v>
      </c>
      <c r="F166" s="46" t="str">
        <f t="shared" si="8"/>
        <v>Matavfallskärl</v>
      </c>
      <c r="G166" s="46" t="s">
        <v>2468</v>
      </c>
    </row>
    <row r="167" spans="1:7">
      <c r="A167" s="43" t="s">
        <v>2462</v>
      </c>
      <c r="B167" s="50" t="str">
        <f>CONCATENATE(VLOOKUP(C167,'Butiksobjekt steg 2'!A:B,2,FALSE)," ",A167)</f>
        <v>Hemköp Haninge C  Kuundvagnsgarage</v>
      </c>
      <c r="C167" s="43">
        <v>55</v>
      </c>
      <c r="D167" s="45">
        <f t="shared" ca="1" si="6"/>
        <v>16</v>
      </c>
      <c r="E167" s="46">
        <f t="shared" ca="1" si="7"/>
        <v>4</v>
      </c>
      <c r="F167" s="46" t="str">
        <f t="shared" si="8"/>
        <v>Kuundvagnsgarage</v>
      </c>
      <c r="G167" s="46" t="s">
        <v>2469</v>
      </c>
    </row>
    <row r="168" spans="1:7">
      <c r="A168" s="43" t="s">
        <v>2460</v>
      </c>
      <c r="B168" s="50" t="str">
        <f>CONCATENATE(VLOOKUP(C168,'Butiksobjekt steg 2'!A:B,2,FALSE)," ",A168)</f>
        <v>Hemköp Haninge Vega Pantkärl</v>
      </c>
      <c r="C168" s="43">
        <v>56</v>
      </c>
      <c r="D168" s="45">
        <f t="shared" ca="1" si="6"/>
        <v>39</v>
      </c>
      <c r="E168" s="46">
        <f t="shared" ca="1" si="7"/>
        <v>5</v>
      </c>
      <c r="F168" s="46" t="str">
        <f t="shared" si="8"/>
        <v>Pantkärl</v>
      </c>
      <c r="G168" s="46" t="s">
        <v>2470</v>
      </c>
    </row>
    <row r="169" spans="1:7">
      <c r="A169" s="43" t="s">
        <v>2461</v>
      </c>
      <c r="B169" s="50" t="str">
        <f>CONCATENATE(VLOOKUP(C169,'Butiksobjekt steg 2'!A:B,2,FALSE)," ",A169)</f>
        <v>Hemköp Haninge Vega Matavfallskärl</v>
      </c>
      <c r="C169" s="43">
        <v>56</v>
      </c>
      <c r="D169" s="45">
        <f t="shared" ca="1" si="6"/>
        <v>34</v>
      </c>
      <c r="E169" s="46">
        <f t="shared" ca="1" si="7"/>
        <v>2</v>
      </c>
      <c r="F169" s="46" t="str">
        <f t="shared" si="8"/>
        <v>Matavfallskärl</v>
      </c>
      <c r="G169" s="46" t="s">
        <v>2468</v>
      </c>
    </row>
    <row r="170" spans="1:7">
      <c r="A170" s="43" t="s">
        <v>2462</v>
      </c>
      <c r="B170" s="50" t="str">
        <f>CONCATENATE(VLOOKUP(C170,'Butiksobjekt steg 2'!A:B,2,FALSE)," ",A170)</f>
        <v>Hemköp Haninge Vega Kuundvagnsgarage</v>
      </c>
      <c r="C170" s="43">
        <v>56</v>
      </c>
      <c r="D170" s="45">
        <f t="shared" ca="1" si="6"/>
        <v>43</v>
      </c>
      <c r="E170" s="46">
        <f t="shared" ca="1" si="7"/>
        <v>4</v>
      </c>
      <c r="F170" s="46" t="str">
        <f t="shared" si="8"/>
        <v>Kuundvagnsgarage</v>
      </c>
      <c r="G170" s="46" t="s">
        <v>2469</v>
      </c>
    </row>
    <row r="171" spans="1:7">
      <c r="A171" s="43" t="s">
        <v>2460</v>
      </c>
      <c r="B171" s="50" t="str">
        <f>CONCATENATE(VLOOKUP(C171,'Butiksobjekt steg 2'!A:B,2,FALSE)," ",A171)</f>
        <v>Hemköp Haverdal Klövervägen Pantkärl</v>
      </c>
      <c r="C171" s="43">
        <v>57</v>
      </c>
      <c r="D171" s="45">
        <f t="shared" ca="1" si="6"/>
        <v>10</v>
      </c>
      <c r="E171" s="46">
        <f t="shared" ca="1" si="7"/>
        <v>5</v>
      </c>
      <c r="F171" s="46" t="str">
        <f t="shared" si="8"/>
        <v>Pantkärl</v>
      </c>
      <c r="G171" s="46" t="s">
        <v>2470</v>
      </c>
    </row>
    <row r="172" spans="1:7">
      <c r="A172" s="43" t="s">
        <v>2461</v>
      </c>
      <c r="B172" s="50" t="str">
        <f>CONCATENATE(VLOOKUP(C172,'Butiksobjekt steg 2'!A:B,2,FALSE)," ",A172)</f>
        <v>Hemköp Haverdal Klövervägen Matavfallskärl</v>
      </c>
      <c r="C172" s="43">
        <v>57</v>
      </c>
      <c r="D172" s="45">
        <f t="shared" ca="1" si="6"/>
        <v>26</v>
      </c>
      <c r="E172" s="46">
        <f t="shared" ca="1" si="7"/>
        <v>3</v>
      </c>
      <c r="F172" s="46" t="str">
        <f t="shared" si="8"/>
        <v>Matavfallskärl</v>
      </c>
      <c r="G172" s="46" t="s">
        <v>2468</v>
      </c>
    </row>
    <row r="173" spans="1:7">
      <c r="A173" s="43" t="s">
        <v>2462</v>
      </c>
      <c r="B173" s="50" t="str">
        <f>CONCATENATE(VLOOKUP(C173,'Butiksobjekt steg 2'!A:B,2,FALSE)," ",A173)</f>
        <v>Hemköp Haverdal Klövervägen Kuundvagnsgarage</v>
      </c>
      <c r="C173" s="43">
        <v>57</v>
      </c>
      <c r="D173" s="45">
        <f t="shared" ca="1" si="6"/>
        <v>45</v>
      </c>
      <c r="E173" s="46">
        <f t="shared" ca="1" si="7"/>
        <v>2</v>
      </c>
      <c r="F173" s="46" t="str">
        <f t="shared" si="8"/>
        <v>Kuundvagnsgarage</v>
      </c>
      <c r="G173" s="46" t="s">
        <v>2469</v>
      </c>
    </row>
    <row r="174" spans="1:7">
      <c r="A174" s="43" t="s">
        <v>2460</v>
      </c>
      <c r="B174" s="50" t="str">
        <f>CONCATENATE(VLOOKUP(C174,'Butiksobjekt steg 2'!A:B,2,FALSE)," ",A174)</f>
        <v>Hemköp Hedemora Gussarvet Pantkärl</v>
      </c>
      <c r="C174" s="43">
        <v>58</v>
      </c>
      <c r="D174" s="45">
        <f t="shared" ca="1" si="6"/>
        <v>45</v>
      </c>
      <c r="E174" s="46">
        <f t="shared" ca="1" si="7"/>
        <v>2</v>
      </c>
      <c r="F174" s="46" t="str">
        <f t="shared" si="8"/>
        <v>Pantkärl</v>
      </c>
      <c r="G174" s="46" t="s">
        <v>2470</v>
      </c>
    </row>
    <row r="175" spans="1:7">
      <c r="A175" s="43" t="s">
        <v>2461</v>
      </c>
      <c r="B175" s="50" t="str">
        <f>CONCATENATE(VLOOKUP(C175,'Butiksobjekt steg 2'!A:B,2,FALSE)," ",A175)</f>
        <v>Hemköp Hedemora Gussarvet Matavfallskärl</v>
      </c>
      <c r="C175" s="43">
        <v>58</v>
      </c>
      <c r="D175" s="45">
        <f t="shared" ca="1" si="6"/>
        <v>18</v>
      </c>
      <c r="E175" s="46">
        <f t="shared" ca="1" si="7"/>
        <v>3</v>
      </c>
      <c r="F175" s="46" t="str">
        <f t="shared" si="8"/>
        <v>Matavfallskärl</v>
      </c>
      <c r="G175" s="46" t="s">
        <v>2468</v>
      </c>
    </row>
    <row r="176" spans="1:7">
      <c r="A176" s="43" t="s">
        <v>2462</v>
      </c>
      <c r="B176" s="50" t="str">
        <f>CONCATENATE(VLOOKUP(C176,'Butiksobjekt steg 2'!A:B,2,FALSE)," ",A176)</f>
        <v>Hemköp Hedemora Gussarvet Kuundvagnsgarage</v>
      </c>
      <c r="C176" s="43">
        <v>58</v>
      </c>
      <c r="D176" s="45">
        <f t="shared" ca="1" si="6"/>
        <v>44</v>
      </c>
      <c r="E176" s="46">
        <f t="shared" ca="1" si="7"/>
        <v>4</v>
      </c>
      <c r="F176" s="46" t="str">
        <f t="shared" si="8"/>
        <v>Kuundvagnsgarage</v>
      </c>
      <c r="G176" s="46" t="s">
        <v>2469</v>
      </c>
    </row>
    <row r="177" spans="1:7">
      <c r="A177" s="43" t="s">
        <v>2460</v>
      </c>
      <c r="B177" s="50" t="str">
        <f>CONCATENATE(VLOOKUP(C177,'Butiksobjekt steg 2'!A:B,2,FALSE)," ",A177)</f>
        <v>Hemköp Helsingborg Laröd Pantkärl</v>
      </c>
      <c r="C177" s="43">
        <v>59</v>
      </c>
      <c r="D177" s="45">
        <f t="shared" ca="1" si="6"/>
        <v>22</v>
      </c>
      <c r="E177" s="46">
        <f t="shared" ca="1" si="7"/>
        <v>1</v>
      </c>
      <c r="F177" s="46" t="str">
        <f t="shared" si="8"/>
        <v>Pantkärl</v>
      </c>
      <c r="G177" s="46" t="s">
        <v>2470</v>
      </c>
    </row>
    <row r="178" spans="1:7">
      <c r="A178" s="43" t="s">
        <v>2461</v>
      </c>
      <c r="B178" s="50" t="str">
        <f>CONCATENATE(VLOOKUP(C178,'Butiksobjekt steg 2'!A:B,2,FALSE)," ",A178)</f>
        <v>Hemköp Helsingborg Laröd Matavfallskärl</v>
      </c>
      <c r="C178" s="43">
        <v>59</v>
      </c>
      <c r="D178" s="45">
        <f t="shared" ca="1" si="6"/>
        <v>26</v>
      </c>
      <c r="E178" s="46">
        <f t="shared" ca="1" si="7"/>
        <v>4</v>
      </c>
      <c r="F178" s="46" t="str">
        <f t="shared" si="8"/>
        <v>Matavfallskärl</v>
      </c>
      <c r="G178" s="46" t="s">
        <v>2468</v>
      </c>
    </row>
    <row r="179" spans="1:7">
      <c r="A179" s="43" t="s">
        <v>2462</v>
      </c>
      <c r="B179" s="50" t="str">
        <f>CONCATENATE(VLOOKUP(C179,'Butiksobjekt steg 2'!A:B,2,FALSE)," ",A179)</f>
        <v>Hemköp Helsingborg Laröd Kuundvagnsgarage</v>
      </c>
      <c r="C179" s="43">
        <v>59</v>
      </c>
      <c r="D179" s="45">
        <f t="shared" ca="1" si="6"/>
        <v>28</v>
      </c>
      <c r="E179" s="46">
        <f t="shared" ca="1" si="7"/>
        <v>3</v>
      </c>
      <c r="F179" s="46" t="str">
        <f t="shared" si="8"/>
        <v>Kuundvagnsgarage</v>
      </c>
      <c r="G179" s="46" t="s">
        <v>2469</v>
      </c>
    </row>
    <row r="180" spans="1:7">
      <c r="A180" s="43" t="s">
        <v>2460</v>
      </c>
      <c r="B180" s="50" t="str">
        <f>CONCATENATE(VLOOKUP(C180,'Butiksobjekt steg 2'!A:B,2,FALSE)," ",A180)</f>
        <v>Hemköp Helsingborg Rydebäck Pantkärl</v>
      </c>
      <c r="C180" s="43">
        <v>60</v>
      </c>
      <c r="D180" s="45">
        <f t="shared" ca="1" si="6"/>
        <v>44</v>
      </c>
      <c r="E180" s="46">
        <f t="shared" ca="1" si="7"/>
        <v>5</v>
      </c>
      <c r="F180" s="46" t="str">
        <f t="shared" si="8"/>
        <v>Pantkärl</v>
      </c>
      <c r="G180" s="46" t="s">
        <v>2470</v>
      </c>
    </row>
    <row r="181" spans="1:7">
      <c r="A181" s="43" t="s">
        <v>2461</v>
      </c>
      <c r="B181" s="50" t="str">
        <f>CONCATENATE(VLOOKUP(C181,'Butiksobjekt steg 2'!A:B,2,FALSE)," ",A181)</f>
        <v>Hemköp Helsingborg Rydebäck Matavfallskärl</v>
      </c>
      <c r="C181" s="43">
        <v>60</v>
      </c>
      <c r="D181" s="45">
        <f t="shared" ca="1" si="6"/>
        <v>41</v>
      </c>
      <c r="E181" s="46">
        <f t="shared" ca="1" si="7"/>
        <v>5</v>
      </c>
      <c r="F181" s="46" t="str">
        <f t="shared" si="8"/>
        <v>Matavfallskärl</v>
      </c>
      <c r="G181" s="46" t="s">
        <v>2468</v>
      </c>
    </row>
    <row r="182" spans="1:7">
      <c r="A182" s="43" t="s">
        <v>2462</v>
      </c>
      <c r="B182" s="50" t="str">
        <f>CONCATENATE(VLOOKUP(C182,'Butiksobjekt steg 2'!A:B,2,FALSE)," ",A182)</f>
        <v>Hemköp Helsingborg Rydebäck Kuundvagnsgarage</v>
      </c>
      <c r="C182" s="43">
        <v>60</v>
      </c>
      <c r="D182" s="45">
        <f t="shared" ca="1" si="6"/>
        <v>29</v>
      </c>
      <c r="E182" s="46">
        <f t="shared" ca="1" si="7"/>
        <v>1</v>
      </c>
      <c r="F182" s="46" t="str">
        <f t="shared" si="8"/>
        <v>Kuundvagnsgarage</v>
      </c>
      <c r="G182" s="46" t="s">
        <v>2469</v>
      </c>
    </row>
    <row r="183" spans="1:7">
      <c r="A183" s="43" t="s">
        <v>2460</v>
      </c>
      <c r="B183" s="50" t="str">
        <f>CONCATENATE(VLOOKUP(C183,'Butiksobjekt steg 2'!A:B,2,FALSE)," ",A183)</f>
        <v>Hemköp Helsingborg Stattena C Pantkärl</v>
      </c>
      <c r="C183" s="43">
        <v>61</v>
      </c>
      <c r="D183" s="45">
        <f t="shared" ca="1" si="6"/>
        <v>38</v>
      </c>
      <c r="E183" s="46">
        <f t="shared" ca="1" si="7"/>
        <v>3</v>
      </c>
      <c r="F183" s="46" t="str">
        <f t="shared" si="8"/>
        <v>Pantkärl</v>
      </c>
      <c r="G183" s="46" t="s">
        <v>2470</v>
      </c>
    </row>
    <row r="184" spans="1:7">
      <c r="A184" s="43" t="s">
        <v>2461</v>
      </c>
      <c r="B184" s="50" t="str">
        <f>CONCATENATE(VLOOKUP(C184,'Butiksobjekt steg 2'!A:B,2,FALSE)," ",A184)</f>
        <v>Hemköp Helsingborg Stattena C Matavfallskärl</v>
      </c>
      <c r="C184" s="43">
        <v>61</v>
      </c>
      <c r="D184" s="45">
        <f t="shared" ca="1" si="6"/>
        <v>40</v>
      </c>
      <c r="E184" s="46">
        <f t="shared" ca="1" si="7"/>
        <v>4</v>
      </c>
      <c r="F184" s="46" t="str">
        <f t="shared" si="8"/>
        <v>Matavfallskärl</v>
      </c>
      <c r="G184" s="46" t="s">
        <v>2468</v>
      </c>
    </row>
    <row r="185" spans="1:7">
      <c r="A185" s="43" t="s">
        <v>2462</v>
      </c>
      <c r="B185" s="50" t="str">
        <f>CONCATENATE(VLOOKUP(C185,'Butiksobjekt steg 2'!A:B,2,FALSE)," ",A185)</f>
        <v>Hemköp Helsingborg Stattena C Kuundvagnsgarage</v>
      </c>
      <c r="C185" s="43">
        <v>61</v>
      </c>
      <c r="D185" s="45">
        <f t="shared" ca="1" si="6"/>
        <v>35</v>
      </c>
      <c r="E185" s="46">
        <f t="shared" ca="1" si="7"/>
        <v>1</v>
      </c>
      <c r="F185" s="46" t="str">
        <f t="shared" si="8"/>
        <v>Kuundvagnsgarage</v>
      </c>
      <c r="G185" s="46" t="s">
        <v>2469</v>
      </c>
    </row>
    <row r="186" spans="1:7">
      <c r="A186" s="43" t="s">
        <v>2460</v>
      </c>
      <c r="B186" s="50" t="str">
        <f>CONCATENATE(VLOOKUP(C186,'Butiksobjekt steg 2'!A:B,2,FALSE)," ",A186)</f>
        <v>Hemköp Helsingborg Söder Pantkärl</v>
      </c>
      <c r="C186" s="43">
        <v>62</v>
      </c>
      <c r="D186" s="45">
        <f t="shared" ca="1" si="6"/>
        <v>29</v>
      </c>
      <c r="E186" s="46">
        <f t="shared" ca="1" si="7"/>
        <v>1</v>
      </c>
      <c r="F186" s="46" t="str">
        <f t="shared" si="8"/>
        <v>Pantkärl</v>
      </c>
      <c r="G186" s="46" t="s">
        <v>2470</v>
      </c>
    </row>
    <row r="187" spans="1:7">
      <c r="A187" s="43" t="s">
        <v>2461</v>
      </c>
      <c r="B187" s="50" t="str">
        <f>CONCATENATE(VLOOKUP(C187,'Butiksobjekt steg 2'!A:B,2,FALSE)," ",A187)</f>
        <v>Hemköp Helsingborg Söder Matavfallskärl</v>
      </c>
      <c r="C187" s="43">
        <v>62</v>
      </c>
      <c r="D187" s="45">
        <f t="shared" ca="1" si="6"/>
        <v>9</v>
      </c>
      <c r="E187" s="46">
        <f t="shared" ca="1" si="7"/>
        <v>1</v>
      </c>
      <c r="F187" s="46" t="str">
        <f t="shared" si="8"/>
        <v>Matavfallskärl</v>
      </c>
      <c r="G187" s="46" t="s">
        <v>2468</v>
      </c>
    </row>
    <row r="188" spans="1:7">
      <c r="A188" s="43" t="s">
        <v>2462</v>
      </c>
      <c r="B188" s="50" t="str">
        <f>CONCATENATE(VLOOKUP(C188,'Butiksobjekt steg 2'!A:B,2,FALSE)," ",A188)</f>
        <v>Hemköp Helsingborg Söder Kuundvagnsgarage</v>
      </c>
      <c r="C188" s="43">
        <v>62</v>
      </c>
      <c r="D188" s="45">
        <f t="shared" ca="1" si="6"/>
        <v>39</v>
      </c>
      <c r="E188" s="46">
        <f t="shared" ca="1" si="7"/>
        <v>1</v>
      </c>
      <c r="F188" s="46" t="str">
        <f t="shared" si="8"/>
        <v>Kuundvagnsgarage</v>
      </c>
      <c r="G188" s="46" t="s">
        <v>2469</v>
      </c>
    </row>
    <row r="189" spans="1:7">
      <c r="A189" s="43" t="s">
        <v>2460</v>
      </c>
      <c r="B189" s="50" t="str">
        <f>CONCATENATE(VLOOKUP(C189,'Butiksobjekt steg 2'!A:B,2,FALSE)," ",A189)</f>
        <v>Hemköp Herrljunga C Pantkärl</v>
      </c>
      <c r="C189" s="43">
        <v>63</v>
      </c>
      <c r="D189" s="45">
        <f t="shared" ca="1" si="6"/>
        <v>36</v>
      </c>
      <c r="E189" s="46">
        <f t="shared" ca="1" si="7"/>
        <v>2</v>
      </c>
      <c r="F189" s="46" t="str">
        <f t="shared" si="8"/>
        <v>Pantkärl</v>
      </c>
      <c r="G189" s="46" t="s">
        <v>2470</v>
      </c>
    </row>
    <row r="190" spans="1:7">
      <c r="A190" s="43" t="s">
        <v>2461</v>
      </c>
      <c r="B190" s="50" t="str">
        <f>CONCATENATE(VLOOKUP(C190,'Butiksobjekt steg 2'!A:B,2,FALSE)," ",A190)</f>
        <v>Hemköp Herrljunga C Matavfallskärl</v>
      </c>
      <c r="C190" s="43">
        <v>63</v>
      </c>
      <c r="D190" s="45">
        <f t="shared" ca="1" si="6"/>
        <v>47</v>
      </c>
      <c r="E190" s="46">
        <f t="shared" ca="1" si="7"/>
        <v>1</v>
      </c>
      <c r="F190" s="46" t="str">
        <f t="shared" si="8"/>
        <v>Matavfallskärl</v>
      </c>
      <c r="G190" s="46" t="s">
        <v>2468</v>
      </c>
    </row>
    <row r="191" spans="1:7">
      <c r="A191" s="43" t="s">
        <v>2462</v>
      </c>
      <c r="B191" s="50" t="str">
        <f>CONCATENATE(VLOOKUP(C191,'Butiksobjekt steg 2'!A:B,2,FALSE)," ",A191)</f>
        <v>Hemköp Herrljunga C Kuundvagnsgarage</v>
      </c>
      <c r="C191" s="43">
        <v>63</v>
      </c>
      <c r="D191" s="45">
        <f t="shared" ca="1" si="6"/>
        <v>20</v>
      </c>
      <c r="E191" s="46">
        <f t="shared" ca="1" si="7"/>
        <v>4</v>
      </c>
      <c r="F191" s="46" t="str">
        <f t="shared" si="8"/>
        <v>Kuundvagnsgarage</v>
      </c>
      <c r="G191" s="46" t="s">
        <v>2469</v>
      </c>
    </row>
    <row r="192" spans="1:7">
      <c r="A192" s="43" t="s">
        <v>2460</v>
      </c>
      <c r="B192" s="50" t="str">
        <f>CONCATENATE(VLOOKUP(C192,'Butiksobjekt steg 2'!A:B,2,FALSE)," ",A192)</f>
        <v>Hemköp Huddinge C Pantkärl</v>
      </c>
      <c r="C192" s="43">
        <v>64</v>
      </c>
      <c r="D192" s="45">
        <f t="shared" ca="1" si="6"/>
        <v>13</v>
      </c>
      <c r="E192" s="46">
        <f t="shared" ca="1" si="7"/>
        <v>4</v>
      </c>
      <c r="F192" s="46" t="str">
        <f t="shared" si="8"/>
        <v>Pantkärl</v>
      </c>
      <c r="G192" s="46" t="s">
        <v>2470</v>
      </c>
    </row>
    <row r="193" spans="1:7">
      <c r="A193" s="43" t="s">
        <v>2461</v>
      </c>
      <c r="B193" s="50" t="str">
        <f>CONCATENATE(VLOOKUP(C193,'Butiksobjekt steg 2'!A:B,2,FALSE)," ",A193)</f>
        <v>Hemköp Huddinge C Matavfallskärl</v>
      </c>
      <c r="C193" s="43">
        <v>64</v>
      </c>
      <c r="D193" s="45">
        <f t="shared" ca="1" si="6"/>
        <v>31</v>
      </c>
      <c r="E193" s="46">
        <f t="shared" ca="1" si="7"/>
        <v>1</v>
      </c>
      <c r="F193" s="46" t="str">
        <f t="shared" si="8"/>
        <v>Matavfallskärl</v>
      </c>
      <c r="G193" s="46" t="s">
        <v>2468</v>
      </c>
    </row>
    <row r="194" spans="1:7">
      <c r="A194" s="43" t="s">
        <v>2462</v>
      </c>
      <c r="B194" s="50" t="str">
        <f>CONCATENATE(VLOOKUP(C194,'Butiksobjekt steg 2'!A:B,2,FALSE)," ",A194)</f>
        <v>Hemköp Huddinge C Kuundvagnsgarage</v>
      </c>
      <c r="C194" s="43">
        <v>64</v>
      </c>
      <c r="D194" s="45">
        <f t="shared" ca="1" si="6"/>
        <v>33</v>
      </c>
      <c r="E194" s="46">
        <f t="shared" ca="1" si="7"/>
        <v>1</v>
      </c>
      <c r="F194" s="46" t="str">
        <f t="shared" si="8"/>
        <v>Kuundvagnsgarage</v>
      </c>
      <c r="G194" s="46" t="s">
        <v>2469</v>
      </c>
    </row>
    <row r="195" spans="1:7">
      <c r="A195" s="43" t="s">
        <v>2460</v>
      </c>
      <c r="B195" s="50" t="str">
        <f>CONCATENATE(VLOOKUP(C195,'Butiksobjekt steg 2'!A:B,2,FALSE)," ",A195)</f>
        <v>Hemköp Huddinge Matbörsen Pantkärl</v>
      </c>
      <c r="C195" s="43">
        <v>65</v>
      </c>
      <c r="D195" s="45">
        <f t="shared" ca="1" si="6"/>
        <v>48</v>
      </c>
      <c r="E195" s="46">
        <f t="shared" ca="1" si="7"/>
        <v>3</v>
      </c>
      <c r="F195" s="46" t="str">
        <f t="shared" si="8"/>
        <v>Pantkärl</v>
      </c>
      <c r="G195" s="46" t="s">
        <v>2470</v>
      </c>
    </row>
    <row r="196" spans="1:7">
      <c r="A196" s="43" t="s">
        <v>2461</v>
      </c>
      <c r="B196" s="50" t="str">
        <f>CONCATENATE(VLOOKUP(C196,'Butiksobjekt steg 2'!A:B,2,FALSE)," ",A196)</f>
        <v>Hemköp Huddinge Matbörsen Matavfallskärl</v>
      </c>
      <c r="C196" s="43">
        <v>65</v>
      </c>
      <c r="D196" s="45">
        <f t="shared" ref="D196:D259" ca="1" si="9">RANDBETWEEN(8,53)</f>
        <v>14</v>
      </c>
      <c r="E196" s="46">
        <f t="shared" ref="E196:E259" ca="1" si="10">RANDBETWEEN(1,5)</f>
        <v>3</v>
      </c>
      <c r="F196" s="46" t="str">
        <f t="shared" si="8"/>
        <v>Matavfallskärl</v>
      </c>
      <c r="G196" s="46" t="s">
        <v>2468</v>
      </c>
    </row>
    <row r="197" spans="1:7">
      <c r="A197" s="43" t="s">
        <v>2462</v>
      </c>
      <c r="B197" s="50" t="str">
        <f>CONCATENATE(VLOOKUP(C197,'Butiksobjekt steg 2'!A:B,2,FALSE)," ",A197)</f>
        <v>Hemköp Huddinge Matbörsen Kuundvagnsgarage</v>
      </c>
      <c r="C197" s="43">
        <v>65</v>
      </c>
      <c r="D197" s="45">
        <f t="shared" ca="1" si="9"/>
        <v>39</v>
      </c>
      <c r="E197" s="46">
        <f t="shared" ca="1" si="10"/>
        <v>5</v>
      </c>
      <c r="F197" s="46" t="str">
        <f t="shared" ref="F197:F260" si="11">A197</f>
        <v>Kuundvagnsgarage</v>
      </c>
      <c r="G197" s="46" t="s">
        <v>2469</v>
      </c>
    </row>
    <row r="198" spans="1:7">
      <c r="A198" s="43" t="s">
        <v>2460</v>
      </c>
      <c r="B198" s="50" t="str">
        <f>CONCATENATE(VLOOKUP(C198,'Butiksobjekt steg 2'!A:B,2,FALSE)," ",A198)</f>
        <v>Hemköp Hudiksvall C Pantkärl</v>
      </c>
      <c r="C198" s="43">
        <v>66</v>
      </c>
      <c r="D198" s="45">
        <f t="shared" ca="1" si="9"/>
        <v>29</v>
      </c>
      <c r="E198" s="46">
        <f t="shared" ca="1" si="10"/>
        <v>5</v>
      </c>
      <c r="F198" s="46" t="str">
        <f t="shared" si="11"/>
        <v>Pantkärl</v>
      </c>
      <c r="G198" s="46" t="s">
        <v>2470</v>
      </c>
    </row>
    <row r="199" spans="1:7">
      <c r="A199" s="43" t="s">
        <v>2461</v>
      </c>
      <c r="B199" s="50" t="str">
        <f>CONCATENATE(VLOOKUP(C199,'Butiksobjekt steg 2'!A:B,2,FALSE)," ",A199)</f>
        <v>Hemköp Hudiksvall C Matavfallskärl</v>
      </c>
      <c r="C199" s="43">
        <v>66</v>
      </c>
      <c r="D199" s="45">
        <f t="shared" ca="1" si="9"/>
        <v>36</v>
      </c>
      <c r="E199" s="46">
        <f t="shared" ca="1" si="10"/>
        <v>3</v>
      </c>
      <c r="F199" s="46" t="str">
        <f t="shared" si="11"/>
        <v>Matavfallskärl</v>
      </c>
      <c r="G199" s="46" t="s">
        <v>2468</v>
      </c>
    </row>
    <row r="200" spans="1:7">
      <c r="A200" s="43" t="s">
        <v>2462</v>
      </c>
      <c r="B200" s="50" t="str">
        <f>CONCATENATE(VLOOKUP(C200,'Butiksobjekt steg 2'!A:B,2,FALSE)," ",A200)</f>
        <v>Hemköp Hudiksvall C Kuundvagnsgarage</v>
      </c>
      <c r="C200" s="43">
        <v>66</v>
      </c>
      <c r="D200" s="45">
        <f t="shared" ca="1" si="9"/>
        <v>49</v>
      </c>
      <c r="E200" s="46">
        <f t="shared" ca="1" si="10"/>
        <v>2</v>
      </c>
      <c r="F200" s="46" t="str">
        <f t="shared" si="11"/>
        <v>Kuundvagnsgarage</v>
      </c>
      <c r="G200" s="46" t="s">
        <v>2469</v>
      </c>
    </row>
    <row r="201" spans="1:7">
      <c r="A201" s="43" t="s">
        <v>2460</v>
      </c>
      <c r="B201" s="50" t="str">
        <f>CONCATENATE(VLOOKUP(C201,'Butiksobjekt steg 2'!A:B,2,FALSE)," ",A201)</f>
        <v>Hemköp Härnösand C Pantkärl</v>
      </c>
      <c r="C201" s="43">
        <v>67</v>
      </c>
      <c r="D201" s="45">
        <f t="shared" ca="1" si="9"/>
        <v>35</v>
      </c>
      <c r="E201" s="46">
        <f t="shared" ca="1" si="10"/>
        <v>1</v>
      </c>
      <c r="F201" s="46" t="str">
        <f t="shared" si="11"/>
        <v>Pantkärl</v>
      </c>
      <c r="G201" s="46" t="s">
        <v>2470</v>
      </c>
    </row>
    <row r="202" spans="1:7">
      <c r="A202" s="43" t="s">
        <v>2461</v>
      </c>
      <c r="B202" s="50" t="str">
        <f>CONCATENATE(VLOOKUP(C202,'Butiksobjekt steg 2'!A:B,2,FALSE)," ",A202)</f>
        <v>Hemköp Härnösand C Matavfallskärl</v>
      </c>
      <c r="C202" s="43">
        <v>67</v>
      </c>
      <c r="D202" s="45">
        <f t="shared" ca="1" si="9"/>
        <v>23</v>
      </c>
      <c r="E202" s="46">
        <f t="shared" ca="1" si="10"/>
        <v>4</v>
      </c>
      <c r="F202" s="46" t="str">
        <f t="shared" si="11"/>
        <v>Matavfallskärl</v>
      </c>
      <c r="G202" s="46" t="s">
        <v>2468</v>
      </c>
    </row>
    <row r="203" spans="1:7">
      <c r="A203" s="43" t="s">
        <v>2462</v>
      </c>
      <c r="B203" s="50" t="str">
        <f>CONCATENATE(VLOOKUP(C203,'Butiksobjekt steg 2'!A:B,2,FALSE)," ",A203)</f>
        <v>Hemköp Härnösand C Kuundvagnsgarage</v>
      </c>
      <c r="C203" s="43">
        <v>67</v>
      </c>
      <c r="D203" s="45">
        <f t="shared" ca="1" si="9"/>
        <v>38</v>
      </c>
      <c r="E203" s="46">
        <f t="shared" ca="1" si="10"/>
        <v>2</v>
      </c>
      <c r="F203" s="46" t="str">
        <f t="shared" si="11"/>
        <v>Kuundvagnsgarage</v>
      </c>
      <c r="G203" s="46" t="s">
        <v>2469</v>
      </c>
    </row>
    <row r="204" spans="1:7">
      <c r="A204" s="43" t="s">
        <v>2460</v>
      </c>
      <c r="B204" s="50" t="str">
        <f>CONCATENATE(VLOOKUP(C204,'Butiksobjekt steg 2'!A:B,2,FALSE)," ",A204)</f>
        <v>Hemköp Insjön Hjultorget Pantkärl</v>
      </c>
      <c r="C204" s="43">
        <v>68</v>
      </c>
      <c r="D204" s="45">
        <f t="shared" ca="1" si="9"/>
        <v>53</v>
      </c>
      <c r="E204" s="46">
        <f t="shared" ca="1" si="10"/>
        <v>1</v>
      </c>
      <c r="F204" s="46" t="str">
        <f t="shared" si="11"/>
        <v>Pantkärl</v>
      </c>
      <c r="G204" s="46" t="s">
        <v>2470</v>
      </c>
    </row>
    <row r="205" spans="1:7">
      <c r="A205" s="43" t="s">
        <v>2461</v>
      </c>
      <c r="B205" s="50" t="str">
        <f>CONCATENATE(VLOOKUP(C205,'Butiksobjekt steg 2'!A:B,2,FALSE)," ",A205)</f>
        <v>Hemköp Insjön Hjultorget Matavfallskärl</v>
      </c>
      <c r="C205" s="43">
        <v>68</v>
      </c>
      <c r="D205" s="45">
        <f t="shared" ca="1" si="9"/>
        <v>27</v>
      </c>
      <c r="E205" s="46">
        <f t="shared" ca="1" si="10"/>
        <v>4</v>
      </c>
      <c r="F205" s="46" t="str">
        <f t="shared" si="11"/>
        <v>Matavfallskärl</v>
      </c>
      <c r="G205" s="46" t="s">
        <v>2468</v>
      </c>
    </row>
    <row r="206" spans="1:7">
      <c r="A206" s="43" t="s">
        <v>2462</v>
      </c>
      <c r="B206" s="50" t="str">
        <f>CONCATENATE(VLOOKUP(C206,'Butiksobjekt steg 2'!A:B,2,FALSE)," ",A206)</f>
        <v>Hemköp Insjön Hjultorget Kuundvagnsgarage</v>
      </c>
      <c r="C206" s="43">
        <v>68</v>
      </c>
      <c r="D206" s="45">
        <f t="shared" ca="1" si="9"/>
        <v>19</v>
      </c>
      <c r="E206" s="46">
        <f t="shared" ca="1" si="10"/>
        <v>4</v>
      </c>
      <c r="F206" s="46" t="str">
        <f t="shared" si="11"/>
        <v>Kuundvagnsgarage</v>
      </c>
      <c r="G206" s="46" t="s">
        <v>2469</v>
      </c>
    </row>
    <row r="207" spans="1:7">
      <c r="A207" s="43" t="s">
        <v>2460</v>
      </c>
      <c r="B207" s="50" t="str">
        <f>CONCATENATE(VLOOKUP(C207,'Butiksobjekt steg 2'!A:B,2,FALSE)," ",A207)</f>
        <v>Hemköp Jakobsberg  Pantkärl</v>
      </c>
      <c r="C207" s="43">
        <v>69</v>
      </c>
      <c r="D207" s="45">
        <f t="shared" ca="1" si="9"/>
        <v>45</v>
      </c>
      <c r="E207" s="46">
        <f t="shared" ca="1" si="10"/>
        <v>4</v>
      </c>
      <c r="F207" s="46" t="str">
        <f t="shared" si="11"/>
        <v>Pantkärl</v>
      </c>
      <c r="G207" s="46" t="s">
        <v>2470</v>
      </c>
    </row>
    <row r="208" spans="1:7">
      <c r="A208" s="43" t="s">
        <v>2461</v>
      </c>
      <c r="B208" s="50" t="str">
        <f>CONCATENATE(VLOOKUP(C208,'Butiksobjekt steg 2'!A:B,2,FALSE)," ",A208)</f>
        <v>Hemköp Jakobsberg  Matavfallskärl</v>
      </c>
      <c r="C208" s="43">
        <v>69</v>
      </c>
      <c r="D208" s="45">
        <f t="shared" ca="1" si="9"/>
        <v>19</v>
      </c>
      <c r="E208" s="46">
        <f t="shared" ca="1" si="10"/>
        <v>3</v>
      </c>
      <c r="F208" s="46" t="str">
        <f t="shared" si="11"/>
        <v>Matavfallskärl</v>
      </c>
      <c r="G208" s="46" t="s">
        <v>2468</v>
      </c>
    </row>
    <row r="209" spans="1:7">
      <c r="A209" s="43" t="s">
        <v>2462</v>
      </c>
      <c r="B209" s="50" t="str">
        <f>CONCATENATE(VLOOKUP(C209,'Butiksobjekt steg 2'!A:B,2,FALSE)," ",A209)</f>
        <v>Hemköp Jakobsberg  Kuundvagnsgarage</v>
      </c>
      <c r="C209" s="43">
        <v>69</v>
      </c>
      <c r="D209" s="45">
        <f t="shared" ca="1" si="9"/>
        <v>14</v>
      </c>
      <c r="E209" s="46">
        <f t="shared" ca="1" si="10"/>
        <v>3</v>
      </c>
      <c r="F209" s="46" t="str">
        <f t="shared" si="11"/>
        <v>Kuundvagnsgarage</v>
      </c>
      <c r="G209" s="46" t="s">
        <v>2469</v>
      </c>
    </row>
    <row r="210" spans="1:7">
      <c r="A210" s="43" t="s">
        <v>2460</v>
      </c>
      <c r="B210" s="50" t="str">
        <f>CONCATENATE(VLOOKUP(C210,'Butiksobjekt steg 2'!A:B,2,FALSE)," ",A210)</f>
        <v>Hemköp Järfälla Barkarbystaden Pantkärl</v>
      </c>
      <c r="C210" s="43">
        <v>70</v>
      </c>
      <c r="D210" s="45">
        <f t="shared" ca="1" si="9"/>
        <v>50</v>
      </c>
      <c r="E210" s="46">
        <f t="shared" ca="1" si="10"/>
        <v>5</v>
      </c>
      <c r="F210" s="46" t="str">
        <f t="shared" si="11"/>
        <v>Pantkärl</v>
      </c>
      <c r="G210" s="46" t="s">
        <v>2470</v>
      </c>
    </row>
    <row r="211" spans="1:7">
      <c r="A211" s="43" t="s">
        <v>2461</v>
      </c>
      <c r="B211" s="50" t="str">
        <f>CONCATENATE(VLOOKUP(C211,'Butiksobjekt steg 2'!A:B,2,FALSE)," ",A211)</f>
        <v>Hemköp Järfälla Barkarbystaden Matavfallskärl</v>
      </c>
      <c r="C211" s="43">
        <v>70</v>
      </c>
      <c r="D211" s="45">
        <f t="shared" ca="1" si="9"/>
        <v>30</v>
      </c>
      <c r="E211" s="46">
        <f t="shared" ca="1" si="10"/>
        <v>5</v>
      </c>
      <c r="F211" s="46" t="str">
        <f t="shared" si="11"/>
        <v>Matavfallskärl</v>
      </c>
      <c r="G211" s="46" t="s">
        <v>2468</v>
      </c>
    </row>
    <row r="212" spans="1:7">
      <c r="A212" s="43" t="s">
        <v>2462</v>
      </c>
      <c r="B212" s="50" t="str">
        <f>CONCATENATE(VLOOKUP(C212,'Butiksobjekt steg 2'!A:B,2,FALSE)," ",A212)</f>
        <v>Hemköp Järfälla Barkarbystaden Kuundvagnsgarage</v>
      </c>
      <c r="C212" s="43">
        <v>70</v>
      </c>
      <c r="D212" s="45">
        <f t="shared" ca="1" si="9"/>
        <v>40</v>
      </c>
      <c r="E212" s="46">
        <f t="shared" ca="1" si="10"/>
        <v>1</v>
      </c>
      <c r="F212" s="46" t="str">
        <f t="shared" si="11"/>
        <v>Kuundvagnsgarage</v>
      </c>
      <c r="G212" s="46" t="s">
        <v>2469</v>
      </c>
    </row>
    <row r="213" spans="1:7">
      <c r="A213" s="43" t="s">
        <v>2460</v>
      </c>
      <c r="B213" s="50" t="str">
        <f>CONCATENATE(VLOOKUP(C213,'Butiksobjekt steg 2'!A:B,2,FALSE)," ",A213)</f>
        <v>Hemköp Järfälla Stäket Pantkärl</v>
      </c>
      <c r="C213" s="43">
        <v>71</v>
      </c>
      <c r="D213" s="45">
        <f t="shared" ca="1" si="9"/>
        <v>42</v>
      </c>
      <c r="E213" s="46">
        <f t="shared" ca="1" si="10"/>
        <v>3</v>
      </c>
      <c r="F213" s="46" t="str">
        <f t="shared" si="11"/>
        <v>Pantkärl</v>
      </c>
      <c r="G213" s="46" t="s">
        <v>2470</v>
      </c>
    </row>
    <row r="214" spans="1:7">
      <c r="A214" s="43" t="s">
        <v>2461</v>
      </c>
      <c r="B214" s="50" t="str">
        <f>CONCATENATE(VLOOKUP(C214,'Butiksobjekt steg 2'!A:B,2,FALSE)," ",A214)</f>
        <v>Hemköp Järfälla Stäket Matavfallskärl</v>
      </c>
      <c r="C214" s="43">
        <v>71</v>
      </c>
      <c r="D214" s="45">
        <f t="shared" ca="1" si="9"/>
        <v>51</v>
      </c>
      <c r="E214" s="46">
        <f t="shared" ca="1" si="10"/>
        <v>4</v>
      </c>
      <c r="F214" s="46" t="str">
        <f t="shared" si="11"/>
        <v>Matavfallskärl</v>
      </c>
      <c r="G214" s="46" t="s">
        <v>2468</v>
      </c>
    </row>
    <row r="215" spans="1:7">
      <c r="A215" s="43" t="s">
        <v>2462</v>
      </c>
      <c r="B215" s="50" t="str">
        <f>CONCATENATE(VLOOKUP(C215,'Butiksobjekt steg 2'!A:B,2,FALSE)," ",A215)</f>
        <v>Hemköp Järfälla Stäket Kuundvagnsgarage</v>
      </c>
      <c r="C215" s="43">
        <v>71</v>
      </c>
      <c r="D215" s="45">
        <f t="shared" ca="1" si="9"/>
        <v>29</v>
      </c>
      <c r="E215" s="46">
        <f t="shared" ca="1" si="10"/>
        <v>3</v>
      </c>
      <c r="F215" s="46" t="str">
        <f t="shared" si="11"/>
        <v>Kuundvagnsgarage</v>
      </c>
      <c r="G215" s="46" t="s">
        <v>2469</v>
      </c>
    </row>
    <row r="216" spans="1:7">
      <c r="A216" s="43" t="s">
        <v>2460</v>
      </c>
      <c r="B216" s="50" t="str">
        <f>CONCATENATE(VLOOKUP(C216,'Butiksobjekt steg 2'!A:B,2,FALSE)," ",A216)</f>
        <v>Hemköp Jönköping C Pantkärl</v>
      </c>
      <c r="C216" s="43">
        <v>72</v>
      </c>
      <c r="D216" s="45">
        <f t="shared" ca="1" si="9"/>
        <v>32</v>
      </c>
      <c r="E216" s="46">
        <f t="shared" ca="1" si="10"/>
        <v>5</v>
      </c>
      <c r="F216" s="46" t="str">
        <f t="shared" si="11"/>
        <v>Pantkärl</v>
      </c>
      <c r="G216" s="46" t="s">
        <v>2470</v>
      </c>
    </row>
    <row r="217" spans="1:7">
      <c r="A217" s="43" t="s">
        <v>2461</v>
      </c>
      <c r="B217" s="50" t="str">
        <f>CONCATENATE(VLOOKUP(C217,'Butiksobjekt steg 2'!A:B,2,FALSE)," ",A217)</f>
        <v>Hemköp Jönköping C Matavfallskärl</v>
      </c>
      <c r="C217" s="43">
        <v>72</v>
      </c>
      <c r="D217" s="45">
        <f t="shared" ca="1" si="9"/>
        <v>33</v>
      </c>
      <c r="E217" s="46">
        <f t="shared" ca="1" si="10"/>
        <v>5</v>
      </c>
      <c r="F217" s="46" t="str">
        <f t="shared" si="11"/>
        <v>Matavfallskärl</v>
      </c>
      <c r="G217" s="46" t="s">
        <v>2468</v>
      </c>
    </row>
    <row r="218" spans="1:7">
      <c r="A218" s="43" t="s">
        <v>2462</v>
      </c>
      <c r="B218" s="50" t="str">
        <f>CONCATENATE(VLOOKUP(C218,'Butiksobjekt steg 2'!A:B,2,FALSE)," ",A218)</f>
        <v>Hemköp Jönköping C Kuundvagnsgarage</v>
      </c>
      <c r="C218" s="43">
        <v>72</v>
      </c>
      <c r="D218" s="45">
        <f t="shared" ca="1" si="9"/>
        <v>52</v>
      </c>
      <c r="E218" s="46">
        <f t="shared" ca="1" si="10"/>
        <v>2</v>
      </c>
      <c r="F218" s="46" t="str">
        <f t="shared" si="11"/>
        <v>Kuundvagnsgarage</v>
      </c>
      <c r="G218" s="46" t="s">
        <v>2469</v>
      </c>
    </row>
    <row r="219" spans="1:7">
      <c r="A219" s="43" t="s">
        <v>2460</v>
      </c>
      <c r="B219" s="50" t="str">
        <f>CONCATENATE(VLOOKUP(C219,'Butiksobjekt steg 2'!A:B,2,FALSE)," ",A219)</f>
        <v>Hemköp Jönköping Munksjöstaden Pantkärl</v>
      </c>
      <c r="C219" s="43">
        <v>73</v>
      </c>
      <c r="D219" s="45">
        <f t="shared" ca="1" si="9"/>
        <v>11</v>
      </c>
      <c r="E219" s="46">
        <f t="shared" ca="1" si="10"/>
        <v>1</v>
      </c>
      <c r="F219" s="46" t="str">
        <f t="shared" si="11"/>
        <v>Pantkärl</v>
      </c>
      <c r="G219" s="46" t="s">
        <v>2470</v>
      </c>
    </row>
    <row r="220" spans="1:7">
      <c r="A220" s="43" t="s">
        <v>2461</v>
      </c>
      <c r="B220" s="50" t="str">
        <f>CONCATENATE(VLOOKUP(C220,'Butiksobjekt steg 2'!A:B,2,FALSE)," ",A220)</f>
        <v>Hemköp Jönköping Munksjöstaden Matavfallskärl</v>
      </c>
      <c r="C220" s="43">
        <v>73</v>
      </c>
      <c r="D220" s="45">
        <f t="shared" ca="1" si="9"/>
        <v>41</v>
      </c>
      <c r="E220" s="46">
        <f t="shared" ca="1" si="10"/>
        <v>5</v>
      </c>
      <c r="F220" s="46" t="str">
        <f t="shared" si="11"/>
        <v>Matavfallskärl</v>
      </c>
      <c r="G220" s="46" t="s">
        <v>2468</v>
      </c>
    </row>
    <row r="221" spans="1:7">
      <c r="A221" s="43" t="s">
        <v>2462</v>
      </c>
      <c r="B221" s="50" t="str">
        <f>CONCATENATE(VLOOKUP(C221,'Butiksobjekt steg 2'!A:B,2,FALSE)," ",A221)</f>
        <v>Hemköp Jönköping Munksjöstaden Kuundvagnsgarage</v>
      </c>
      <c r="C221" s="43">
        <v>73</v>
      </c>
      <c r="D221" s="45">
        <f t="shared" ca="1" si="9"/>
        <v>45</v>
      </c>
      <c r="E221" s="46">
        <f t="shared" ca="1" si="10"/>
        <v>2</v>
      </c>
      <c r="F221" s="46" t="str">
        <f t="shared" si="11"/>
        <v>Kuundvagnsgarage</v>
      </c>
      <c r="G221" s="46" t="s">
        <v>2469</v>
      </c>
    </row>
    <row r="222" spans="1:7">
      <c r="A222" s="43" t="s">
        <v>2460</v>
      </c>
      <c r="B222" s="50" t="str">
        <f>CONCATENATE(VLOOKUP(C222,'Butiksobjekt steg 2'!A:B,2,FALSE)," ",A222)</f>
        <v>Hemköp Kalmar Kvarnholmen Pantkärl</v>
      </c>
      <c r="C222" s="43">
        <v>74</v>
      </c>
      <c r="D222" s="45">
        <f t="shared" ca="1" si="9"/>
        <v>22</v>
      </c>
      <c r="E222" s="46">
        <f t="shared" ca="1" si="10"/>
        <v>5</v>
      </c>
      <c r="F222" s="46" t="str">
        <f t="shared" si="11"/>
        <v>Pantkärl</v>
      </c>
      <c r="G222" s="46" t="s">
        <v>2470</v>
      </c>
    </row>
    <row r="223" spans="1:7">
      <c r="A223" s="43" t="s">
        <v>2461</v>
      </c>
      <c r="B223" s="50" t="str">
        <f>CONCATENATE(VLOOKUP(C223,'Butiksobjekt steg 2'!A:B,2,FALSE)," ",A223)</f>
        <v>Hemköp Kalmar Kvarnholmen Matavfallskärl</v>
      </c>
      <c r="C223" s="43">
        <v>74</v>
      </c>
      <c r="D223" s="45">
        <f t="shared" ca="1" si="9"/>
        <v>13</v>
      </c>
      <c r="E223" s="46">
        <f t="shared" ca="1" si="10"/>
        <v>4</v>
      </c>
      <c r="F223" s="46" t="str">
        <f t="shared" si="11"/>
        <v>Matavfallskärl</v>
      </c>
      <c r="G223" s="46" t="s">
        <v>2468</v>
      </c>
    </row>
    <row r="224" spans="1:7">
      <c r="A224" s="43" t="s">
        <v>2462</v>
      </c>
      <c r="B224" s="50" t="str">
        <f>CONCATENATE(VLOOKUP(C224,'Butiksobjekt steg 2'!A:B,2,FALSE)," ",A224)</f>
        <v>Hemköp Kalmar Kvarnholmen Kuundvagnsgarage</v>
      </c>
      <c r="C224" s="43">
        <v>74</v>
      </c>
      <c r="D224" s="45">
        <f t="shared" ca="1" si="9"/>
        <v>26</v>
      </c>
      <c r="E224" s="46">
        <f t="shared" ca="1" si="10"/>
        <v>1</v>
      </c>
      <c r="F224" s="46" t="str">
        <f t="shared" si="11"/>
        <v>Kuundvagnsgarage</v>
      </c>
      <c r="G224" s="46" t="s">
        <v>2469</v>
      </c>
    </row>
    <row r="225" spans="1:7">
      <c r="A225" s="43" t="s">
        <v>2460</v>
      </c>
      <c r="B225" s="50" t="str">
        <f>CONCATENATE(VLOOKUP(C225,'Butiksobjekt steg 2'!A:B,2,FALSE)," ",A225)</f>
        <v>Hemköp Karlskrona C Pantkärl</v>
      </c>
      <c r="C225" s="43">
        <v>75</v>
      </c>
      <c r="D225" s="45">
        <f t="shared" ca="1" si="9"/>
        <v>46</v>
      </c>
      <c r="E225" s="46">
        <f t="shared" ca="1" si="10"/>
        <v>5</v>
      </c>
      <c r="F225" s="46" t="str">
        <f t="shared" si="11"/>
        <v>Pantkärl</v>
      </c>
      <c r="G225" s="46" t="s">
        <v>2470</v>
      </c>
    </row>
    <row r="226" spans="1:7">
      <c r="A226" s="43" t="s">
        <v>2461</v>
      </c>
      <c r="B226" s="50" t="str">
        <f>CONCATENATE(VLOOKUP(C226,'Butiksobjekt steg 2'!A:B,2,FALSE)," ",A226)</f>
        <v>Hemköp Karlskrona C Matavfallskärl</v>
      </c>
      <c r="C226" s="43">
        <v>75</v>
      </c>
      <c r="D226" s="45">
        <f t="shared" ca="1" si="9"/>
        <v>14</v>
      </c>
      <c r="E226" s="46">
        <f t="shared" ca="1" si="10"/>
        <v>1</v>
      </c>
      <c r="F226" s="46" t="str">
        <f t="shared" si="11"/>
        <v>Matavfallskärl</v>
      </c>
      <c r="G226" s="46" t="s">
        <v>2468</v>
      </c>
    </row>
    <row r="227" spans="1:7">
      <c r="A227" s="43" t="s">
        <v>2462</v>
      </c>
      <c r="B227" s="50" t="str">
        <f>CONCATENATE(VLOOKUP(C227,'Butiksobjekt steg 2'!A:B,2,FALSE)," ",A227)</f>
        <v>Hemköp Karlskrona C Kuundvagnsgarage</v>
      </c>
      <c r="C227" s="43">
        <v>75</v>
      </c>
      <c r="D227" s="45">
        <f t="shared" ca="1" si="9"/>
        <v>30</v>
      </c>
      <c r="E227" s="46">
        <f t="shared" ca="1" si="10"/>
        <v>5</v>
      </c>
      <c r="F227" s="46" t="str">
        <f t="shared" si="11"/>
        <v>Kuundvagnsgarage</v>
      </c>
      <c r="G227" s="46" t="s">
        <v>2469</v>
      </c>
    </row>
    <row r="228" spans="1:7">
      <c r="A228" s="43" t="s">
        <v>2460</v>
      </c>
      <c r="B228" s="50" t="str">
        <f>CONCATENATE(VLOOKUP(C228,'Butiksobjekt steg 2'!A:B,2,FALSE)," ",A228)</f>
        <v>Hemköp Karlstad C Pantkärl</v>
      </c>
      <c r="C228" s="43">
        <v>76</v>
      </c>
      <c r="D228" s="45">
        <f t="shared" ca="1" si="9"/>
        <v>41</v>
      </c>
      <c r="E228" s="46">
        <f t="shared" ca="1" si="10"/>
        <v>2</v>
      </c>
      <c r="F228" s="46" t="str">
        <f t="shared" si="11"/>
        <v>Pantkärl</v>
      </c>
      <c r="G228" s="46" t="s">
        <v>2470</v>
      </c>
    </row>
    <row r="229" spans="1:7">
      <c r="A229" s="43" t="s">
        <v>2461</v>
      </c>
      <c r="B229" s="50" t="str">
        <f>CONCATENATE(VLOOKUP(C229,'Butiksobjekt steg 2'!A:B,2,FALSE)," ",A229)</f>
        <v>Hemköp Karlstad C Matavfallskärl</v>
      </c>
      <c r="C229" s="43">
        <v>76</v>
      </c>
      <c r="D229" s="45">
        <f t="shared" ca="1" si="9"/>
        <v>44</v>
      </c>
      <c r="E229" s="46">
        <f t="shared" ca="1" si="10"/>
        <v>1</v>
      </c>
      <c r="F229" s="46" t="str">
        <f t="shared" si="11"/>
        <v>Matavfallskärl</v>
      </c>
      <c r="G229" s="46" t="s">
        <v>2468</v>
      </c>
    </row>
    <row r="230" spans="1:7">
      <c r="A230" s="43" t="s">
        <v>2462</v>
      </c>
      <c r="B230" s="50" t="str">
        <f>CONCATENATE(VLOOKUP(C230,'Butiksobjekt steg 2'!A:B,2,FALSE)," ",A230)</f>
        <v>Hemköp Karlstad C Kuundvagnsgarage</v>
      </c>
      <c r="C230" s="43">
        <v>76</v>
      </c>
      <c r="D230" s="45">
        <f t="shared" ca="1" si="9"/>
        <v>41</v>
      </c>
      <c r="E230" s="46">
        <f t="shared" ca="1" si="10"/>
        <v>4</v>
      </c>
      <c r="F230" s="46" t="str">
        <f t="shared" si="11"/>
        <v>Kuundvagnsgarage</v>
      </c>
      <c r="G230" s="46" t="s">
        <v>2469</v>
      </c>
    </row>
    <row r="231" spans="1:7">
      <c r="A231" s="43" t="s">
        <v>2460</v>
      </c>
      <c r="B231" s="50" t="str">
        <f>CONCATENATE(VLOOKUP(C231,'Butiksobjekt steg 2'!A:B,2,FALSE)," ",A231)</f>
        <v>Hemköp Kinna C Pantkärl</v>
      </c>
      <c r="C231" s="43">
        <v>77</v>
      </c>
      <c r="D231" s="45">
        <f t="shared" ca="1" si="9"/>
        <v>44</v>
      </c>
      <c r="E231" s="46">
        <f t="shared" ca="1" si="10"/>
        <v>1</v>
      </c>
      <c r="F231" s="46" t="str">
        <f t="shared" si="11"/>
        <v>Pantkärl</v>
      </c>
      <c r="G231" s="46" t="s">
        <v>2470</v>
      </c>
    </row>
    <row r="232" spans="1:7">
      <c r="A232" s="43" t="s">
        <v>2461</v>
      </c>
      <c r="B232" s="50" t="str">
        <f>CONCATENATE(VLOOKUP(C232,'Butiksobjekt steg 2'!A:B,2,FALSE)," ",A232)</f>
        <v>Hemköp Kinna C Matavfallskärl</v>
      </c>
      <c r="C232" s="43">
        <v>77</v>
      </c>
      <c r="D232" s="45">
        <f t="shared" ca="1" si="9"/>
        <v>31</v>
      </c>
      <c r="E232" s="46">
        <f t="shared" ca="1" si="10"/>
        <v>1</v>
      </c>
      <c r="F232" s="46" t="str">
        <f t="shared" si="11"/>
        <v>Matavfallskärl</v>
      </c>
      <c r="G232" s="46" t="s">
        <v>2468</v>
      </c>
    </row>
    <row r="233" spans="1:7">
      <c r="A233" s="43" t="s">
        <v>2462</v>
      </c>
      <c r="B233" s="50" t="str">
        <f>CONCATENATE(VLOOKUP(C233,'Butiksobjekt steg 2'!A:B,2,FALSE)," ",A233)</f>
        <v>Hemköp Kinna C Kuundvagnsgarage</v>
      </c>
      <c r="C233" s="43">
        <v>77</v>
      </c>
      <c r="D233" s="45">
        <f t="shared" ca="1" si="9"/>
        <v>52</v>
      </c>
      <c r="E233" s="46">
        <f t="shared" ca="1" si="10"/>
        <v>4</v>
      </c>
      <c r="F233" s="46" t="str">
        <f t="shared" si="11"/>
        <v>Kuundvagnsgarage</v>
      </c>
      <c r="G233" s="46" t="s">
        <v>2469</v>
      </c>
    </row>
    <row r="234" spans="1:7">
      <c r="A234" s="43" t="s">
        <v>2460</v>
      </c>
      <c r="B234" s="50" t="str">
        <f>CONCATENATE(VLOOKUP(C234,'Butiksobjekt steg 2'!A:B,2,FALSE)," ",A234)</f>
        <v>Hemköp Kisa C Pantkärl</v>
      </c>
      <c r="C234" s="43">
        <v>78</v>
      </c>
      <c r="D234" s="45">
        <f t="shared" ca="1" si="9"/>
        <v>24</v>
      </c>
      <c r="E234" s="46">
        <f t="shared" ca="1" si="10"/>
        <v>5</v>
      </c>
      <c r="F234" s="46" t="str">
        <f t="shared" si="11"/>
        <v>Pantkärl</v>
      </c>
      <c r="G234" s="46" t="s">
        <v>2470</v>
      </c>
    </row>
    <row r="235" spans="1:7">
      <c r="A235" s="43" t="s">
        <v>2461</v>
      </c>
      <c r="B235" s="50" t="str">
        <f>CONCATENATE(VLOOKUP(C235,'Butiksobjekt steg 2'!A:B,2,FALSE)," ",A235)</f>
        <v>Hemköp Kisa C Matavfallskärl</v>
      </c>
      <c r="C235" s="43">
        <v>78</v>
      </c>
      <c r="D235" s="45">
        <f t="shared" ca="1" si="9"/>
        <v>46</v>
      </c>
      <c r="E235" s="46">
        <f t="shared" ca="1" si="10"/>
        <v>4</v>
      </c>
      <c r="F235" s="46" t="str">
        <f t="shared" si="11"/>
        <v>Matavfallskärl</v>
      </c>
      <c r="G235" s="46" t="s">
        <v>2468</v>
      </c>
    </row>
    <row r="236" spans="1:7">
      <c r="A236" s="43" t="s">
        <v>2462</v>
      </c>
      <c r="B236" s="50" t="str">
        <f>CONCATENATE(VLOOKUP(C236,'Butiksobjekt steg 2'!A:B,2,FALSE)," ",A236)</f>
        <v>Hemköp Kisa C Kuundvagnsgarage</v>
      </c>
      <c r="C236" s="43">
        <v>78</v>
      </c>
      <c r="D236" s="45">
        <f t="shared" ca="1" si="9"/>
        <v>42</v>
      </c>
      <c r="E236" s="46">
        <f t="shared" ca="1" si="10"/>
        <v>1</v>
      </c>
      <c r="F236" s="46" t="str">
        <f t="shared" si="11"/>
        <v>Kuundvagnsgarage</v>
      </c>
      <c r="G236" s="46" t="s">
        <v>2469</v>
      </c>
    </row>
    <row r="237" spans="1:7">
      <c r="A237" s="43" t="s">
        <v>2460</v>
      </c>
      <c r="B237" s="50" t="str">
        <f>CONCATENATE(VLOOKUP(C237,'Butiksobjekt steg 2'!A:B,2,FALSE)," ",A237)</f>
        <v>Hemköp Kolbäck C Pantkärl</v>
      </c>
      <c r="C237" s="43">
        <v>79</v>
      </c>
      <c r="D237" s="45">
        <f t="shared" ca="1" si="9"/>
        <v>29</v>
      </c>
      <c r="E237" s="46">
        <f t="shared" ca="1" si="10"/>
        <v>2</v>
      </c>
      <c r="F237" s="46" t="str">
        <f t="shared" si="11"/>
        <v>Pantkärl</v>
      </c>
      <c r="G237" s="46" t="s">
        <v>2470</v>
      </c>
    </row>
    <row r="238" spans="1:7">
      <c r="A238" s="43" t="s">
        <v>2461</v>
      </c>
      <c r="B238" s="50" t="str">
        <f>CONCATENATE(VLOOKUP(C238,'Butiksobjekt steg 2'!A:B,2,FALSE)," ",A238)</f>
        <v>Hemköp Kolbäck C Matavfallskärl</v>
      </c>
      <c r="C238" s="43">
        <v>79</v>
      </c>
      <c r="D238" s="45">
        <f t="shared" ca="1" si="9"/>
        <v>36</v>
      </c>
      <c r="E238" s="46">
        <f t="shared" ca="1" si="10"/>
        <v>4</v>
      </c>
      <c r="F238" s="46" t="str">
        <f t="shared" si="11"/>
        <v>Matavfallskärl</v>
      </c>
      <c r="G238" s="46" t="s">
        <v>2468</v>
      </c>
    </row>
    <row r="239" spans="1:7">
      <c r="A239" s="43" t="s">
        <v>2462</v>
      </c>
      <c r="B239" s="50" t="str">
        <f>CONCATENATE(VLOOKUP(C239,'Butiksobjekt steg 2'!A:B,2,FALSE)," ",A239)</f>
        <v>Hemköp Kolbäck C Kuundvagnsgarage</v>
      </c>
      <c r="C239" s="43">
        <v>79</v>
      </c>
      <c r="D239" s="45">
        <f t="shared" ca="1" si="9"/>
        <v>25</v>
      </c>
      <c r="E239" s="46">
        <f t="shared" ca="1" si="10"/>
        <v>5</v>
      </c>
      <c r="F239" s="46" t="str">
        <f t="shared" si="11"/>
        <v>Kuundvagnsgarage</v>
      </c>
      <c r="G239" s="46" t="s">
        <v>2469</v>
      </c>
    </row>
    <row r="240" spans="1:7">
      <c r="A240" s="43" t="s">
        <v>2460</v>
      </c>
      <c r="B240" s="50" t="str">
        <f>CONCATENATE(VLOOKUP(C240,'Butiksobjekt steg 2'!A:B,2,FALSE)," ",A240)</f>
        <v>Hemköp Kullavik C Pantkärl</v>
      </c>
      <c r="C240" s="43">
        <v>80</v>
      </c>
      <c r="D240" s="45">
        <f t="shared" ca="1" si="9"/>
        <v>15</v>
      </c>
      <c r="E240" s="46">
        <f t="shared" ca="1" si="10"/>
        <v>2</v>
      </c>
      <c r="F240" s="46" t="str">
        <f t="shared" si="11"/>
        <v>Pantkärl</v>
      </c>
      <c r="G240" s="46" t="s">
        <v>2470</v>
      </c>
    </row>
    <row r="241" spans="1:7">
      <c r="A241" s="43" t="s">
        <v>2461</v>
      </c>
      <c r="B241" s="50" t="str">
        <f>CONCATENATE(VLOOKUP(C241,'Butiksobjekt steg 2'!A:B,2,FALSE)," ",A241)</f>
        <v>Hemköp Kullavik C Matavfallskärl</v>
      </c>
      <c r="C241" s="43">
        <v>80</v>
      </c>
      <c r="D241" s="45">
        <f t="shared" ca="1" si="9"/>
        <v>18</v>
      </c>
      <c r="E241" s="46">
        <f t="shared" ca="1" si="10"/>
        <v>5</v>
      </c>
      <c r="F241" s="46" t="str">
        <f t="shared" si="11"/>
        <v>Matavfallskärl</v>
      </c>
      <c r="G241" s="46" t="s">
        <v>2468</v>
      </c>
    </row>
    <row r="242" spans="1:7">
      <c r="A242" s="43" t="s">
        <v>2462</v>
      </c>
      <c r="B242" s="50" t="str">
        <f>CONCATENATE(VLOOKUP(C242,'Butiksobjekt steg 2'!A:B,2,FALSE)," ",A242)</f>
        <v>Hemköp Kullavik C Kuundvagnsgarage</v>
      </c>
      <c r="C242" s="43">
        <v>80</v>
      </c>
      <c r="D242" s="45">
        <f t="shared" ca="1" si="9"/>
        <v>11</v>
      </c>
      <c r="E242" s="46">
        <f t="shared" ca="1" si="10"/>
        <v>4</v>
      </c>
      <c r="F242" s="46" t="str">
        <f t="shared" si="11"/>
        <v>Kuundvagnsgarage</v>
      </c>
      <c r="G242" s="46" t="s">
        <v>2469</v>
      </c>
    </row>
    <row r="243" spans="1:7">
      <c r="A243" s="43" t="s">
        <v>2460</v>
      </c>
      <c r="B243" s="50" t="str">
        <f>CONCATENATE(VLOOKUP(C243,'Butiksobjekt steg 2'!A:B,2,FALSE)," ",A243)</f>
        <v>Hemköp Kungsbacka Billdal Pantkärl</v>
      </c>
      <c r="C243" s="43">
        <v>81</v>
      </c>
      <c r="D243" s="45">
        <f t="shared" ca="1" si="9"/>
        <v>17</v>
      </c>
      <c r="E243" s="46">
        <f t="shared" ca="1" si="10"/>
        <v>3</v>
      </c>
      <c r="F243" s="46" t="str">
        <f t="shared" si="11"/>
        <v>Pantkärl</v>
      </c>
      <c r="G243" s="46" t="s">
        <v>2470</v>
      </c>
    </row>
    <row r="244" spans="1:7">
      <c r="A244" s="43" t="s">
        <v>2461</v>
      </c>
      <c r="B244" s="50" t="str">
        <f>CONCATENATE(VLOOKUP(C244,'Butiksobjekt steg 2'!A:B,2,FALSE)," ",A244)</f>
        <v>Hemköp Kungsbacka Billdal Matavfallskärl</v>
      </c>
      <c r="C244" s="43">
        <v>81</v>
      </c>
      <c r="D244" s="45">
        <f t="shared" ca="1" si="9"/>
        <v>12</v>
      </c>
      <c r="E244" s="46">
        <f t="shared" ca="1" si="10"/>
        <v>4</v>
      </c>
      <c r="F244" s="46" t="str">
        <f t="shared" si="11"/>
        <v>Matavfallskärl</v>
      </c>
      <c r="G244" s="46" t="s">
        <v>2468</v>
      </c>
    </row>
    <row r="245" spans="1:7">
      <c r="A245" s="43" t="s">
        <v>2462</v>
      </c>
      <c r="B245" s="50" t="str">
        <f>CONCATENATE(VLOOKUP(C245,'Butiksobjekt steg 2'!A:B,2,FALSE)," ",A245)</f>
        <v>Hemköp Kungsbacka Billdal Kuundvagnsgarage</v>
      </c>
      <c r="C245" s="43">
        <v>81</v>
      </c>
      <c r="D245" s="45">
        <f t="shared" ca="1" si="9"/>
        <v>15</v>
      </c>
      <c r="E245" s="46">
        <f t="shared" ca="1" si="10"/>
        <v>4</v>
      </c>
      <c r="F245" s="46" t="str">
        <f t="shared" si="11"/>
        <v>Kuundvagnsgarage</v>
      </c>
      <c r="G245" s="46" t="s">
        <v>2469</v>
      </c>
    </row>
    <row r="246" spans="1:7">
      <c r="A246" s="43" t="s">
        <v>2460</v>
      </c>
      <c r="B246" s="50" t="str">
        <f>CONCATENATE(VLOOKUP(C246,'Butiksobjekt steg 2'!A:B,2,FALSE)," ",A246)</f>
        <v>Hemköp Kungsbacka Hålabäck Pantkärl</v>
      </c>
      <c r="C246" s="43">
        <v>82</v>
      </c>
      <c r="D246" s="45">
        <f t="shared" ca="1" si="9"/>
        <v>40</v>
      </c>
      <c r="E246" s="46">
        <f t="shared" ca="1" si="10"/>
        <v>5</v>
      </c>
      <c r="F246" s="46" t="str">
        <f t="shared" si="11"/>
        <v>Pantkärl</v>
      </c>
      <c r="G246" s="46" t="s">
        <v>2470</v>
      </c>
    </row>
    <row r="247" spans="1:7">
      <c r="A247" s="43" t="s">
        <v>2461</v>
      </c>
      <c r="B247" s="50" t="str">
        <f>CONCATENATE(VLOOKUP(C247,'Butiksobjekt steg 2'!A:B,2,FALSE)," ",A247)</f>
        <v>Hemköp Kungsbacka Hålabäck Matavfallskärl</v>
      </c>
      <c r="C247" s="43">
        <v>82</v>
      </c>
      <c r="D247" s="45">
        <f t="shared" ca="1" si="9"/>
        <v>21</v>
      </c>
      <c r="E247" s="46">
        <f t="shared" ca="1" si="10"/>
        <v>2</v>
      </c>
      <c r="F247" s="46" t="str">
        <f t="shared" si="11"/>
        <v>Matavfallskärl</v>
      </c>
      <c r="G247" s="46" t="s">
        <v>2468</v>
      </c>
    </row>
    <row r="248" spans="1:7">
      <c r="A248" s="43" t="s">
        <v>2462</v>
      </c>
      <c r="B248" s="50" t="str">
        <f>CONCATENATE(VLOOKUP(C248,'Butiksobjekt steg 2'!A:B,2,FALSE)," ",A248)</f>
        <v>Hemköp Kungsbacka Hålabäck Kuundvagnsgarage</v>
      </c>
      <c r="C248" s="43">
        <v>82</v>
      </c>
      <c r="D248" s="45">
        <f t="shared" ca="1" si="9"/>
        <v>19</v>
      </c>
      <c r="E248" s="46">
        <f t="shared" ca="1" si="10"/>
        <v>5</v>
      </c>
      <c r="F248" s="46" t="str">
        <f t="shared" si="11"/>
        <v>Kuundvagnsgarage</v>
      </c>
      <c r="G248" s="46" t="s">
        <v>2469</v>
      </c>
    </row>
    <row r="249" spans="1:7">
      <c r="A249" s="43" t="s">
        <v>2460</v>
      </c>
      <c r="B249" s="50" t="str">
        <f>CONCATENATE(VLOOKUP(C249,'Butiksobjekt steg 2'!A:B,2,FALSE)," ",A249)</f>
        <v>Hemköp Kungsbacka Torget Pantkärl</v>
      </c>
      <c r="C249" s="43">
        <v>83</v>
      </c>
      <c r="D249" s="45">
        <f t="shared" ca="1" si="9"/>
        <v>52</v>
      </c>
      <c r="E249" s="46">
        <f t="shared" ca="1" si="10"/>
        <v>2</v>
      </c>
      <c r="F249" s="46" t="str">
        <f t="shared" si="11"/>
        <v>Pantkärl</v>
      </c>
      <c r="G249" s="46" t="s">
        <v>2470</v>
      </c>
    </row>
    <row r="250" spans="1:7">
      <c r="A250" s="43" t="s">
        <v>2461</v>
      </c>
      <c r="B250" s="50" t="str">
        <f>CONCATENATE(VLOOKUP(C250,'Butiksobjekt steg 2'!A:B,2,FALSE)," ",A250)</f>
        <v>Hemköp Kungsbacka Torget Matavfallskärl</v>
      </c>
      <c r="C250" s="43">
        <v>83</v>
      </c>
      <c r="D250" s="45">
        <f t="shared" ca="1" si="9"/>
        <v>43</v>
      </c>
      <c r="E250" s="46">
        <f t="shared" ca="1" si="10"/>
        <v>2</v>
      </c>
      <c r="F250" s="46" t="str">
        <f t="shared" si="11"/>
        <v>Matavfallskärl</v>
      </c>
      <c r="G250" s="46" t="s">
        <v>2468</v>
      </c>
    </row>
    <row r="251" spans="1:7">
      <c r="A251" s="43" t="s">
        <v>2462</v>
      </c>
      <c r="B251" s="50" t="str">
        <f>CONCATENATE(VLOOKUP(C251,'Butiksobjekt steg 2'!A:B,2,FALSE)," ",A251)</f>
        <v>Hemköp Kungsbacka Torget Kuundvagnsgarage</v>
      </c>
      <c r="C251" s="43">
        <v>83</v>
      </c>
      <c r="D251" s="45">
        <f t="shared" ca="1" si="9"/>
        <v>25</v>
      </c>
      <c r="E251" s="46">
        <f t="shared" ca="1" si="10"/>
        <v>4</v>
      </c>
      <c r="F251" s="46" t="str">
        <f t="shared" si="11"/>
        <v>Kuundvagnsgarage</v>
      </c>
      <c r="G251" s="46" t="s">
        <v>2469</v>
      </c>
    </row>
    <row r="252" spans="1:7">
      <c r="A252" s="43" t="s">
        <v>2460</v>
      </c>
      <c r="B252" s="50" t="str">
        <f>CONCATENATE(VLOOKUP(C252,'Butiksobjekt steg 2'!A:B,2,FALSE)," ",A252)</f>
        <v>Hemköp Köping C Pantkärl</v>
      </c>
      <c r="C252" s="43">
        <v>84</v>
      </c>
      <c r="D252" s="45">
        <f t="shared" ca="1" si="9"/>
        <v>44</v>
      </c>
      <c r="E252" s="46">
        <f t="shared" ca="1" si="10"/>
        <v>5</v>
      </c>
      <c r="F252" s="46" t="str">
        <f t="shared" si="11"/>
        <v>Pantkärl</v>
      </c>
      <c r="G252" s="46" t="s">
        <v>2470</v>
      </c>
    </row>
    <row r="253" spans="1:7">
      <c r="A253" s="43" t="s">
        <v>2461</v>
      </c>
      <c r="B253" s="50" t="str">
        <f>CONCATENATE(VLOOKUP(C253,'Butiksobjekt steg 2'!A:B,2,FALSE)," ",A253)</f>
        <v>Hemköp Köping C Matavfallskärl</v>
      </c>
      <c r="C253" s="43">
        <v>84</v>
      </c>
      <c r="D253" s="45">
        <f t="shared" ca="1" si="9"/>
        <v>9</v>
      </c>
      <c r="E253" s="46">
        <f t="shared" ca="1" si="10"/>
        <v>2</v>
      </c>
      <c r="F253" s="46" t="str">
        <f t="shared" si="11"/>
        <v>Matavfallskärl</v>
      </c>
      <c r="G253" s="46" t="s">
        <v>2468</v>
      </c>
    </row>
    <row r="254" spans="1:7">
      <c r="A254" s="43" t="s">
        <v>2462</v>
      </c>
      <c r="B254" s="50" t="str">
        <f>CONCATENATE(VLOOKUP(C254,'Butiksobjekt steg 2'!A:B,2,FALSE)," ",A254)</f>
        <v>Hemköp Köping C Kuundvagnsgarage</v>
      </c>
      <c r="C254" s="43">
        <v>84</v>
      </c>
      <c r="D254" s="45">
        <f t="shared" ca="1" si="9"/>
        <v>17</v>
      </c>
      <c r="E254" s="46">
        <f t="shared" ca="1" si="10"/>
        <v>2</v>
      </c>
      <c r="F254" s="46" t="str">
        <f t="shared" si="11"/>
        <v>Kuundvagnsgarage</v>
      </c>
      <c r="G254" s="46" t="s">
        <v>2469</v>
      </c>
    </row>
    <row r="255" spans="1:7">
      <c r="A255" s="43" t="s">
        <v>2460</v>
      </c>
      <c r="B255" s="50" t="str">
        <f>CONCATENATE(VLOOKUP(C255,'Butiksobjekt steg 2'!A:B,2,FALSE)," ",A255)</f>
        <v>Hemköp Leksand C Pantkärl</v>
      </c>
      <c r="C255" s="43">
        <v>85</v>
      </c>
      <c r="D255" s="45">
        <f t="shared" ca="1" si="9"/>
        <v>16</v>
      </c>
      <c r="E255" s="46">
        <f t="shared" ca="1" si="10"/>
        <v>3</v>
      </c>
      <c r="F255" s="46" t="str">
        <f t="shared" si="11"/>
        <v>Pantkärl</v>
      </c>
      <c r="G255" s="46" t="s">
        <v>2470</v>
      </c>
    </row>
    <row r="256" spans="1:7">
      <c r="A256" s="43" t="s">
        <v>2461</v>
      </c>
      <c r="B256" s="50" t="str">
        <f>CONCATENATE(VLOOKUP(C256,'Butiksobjekt steg 2'!A:B,2,FALSE)," ",A256)</f>
        <v>Hemköp Leksand C Matavfallskärl</v>
      </c>
      <c r="C256" s="43">
        <v>85</v>
      </c>
      <c r="D256" s="45">
        <f t="shared" ca="1" si="9"/>
        <v>15</v>
      </c>
      <c r="E256" s="46">
        <f t="shared" ca="1" si="10"/>
        <v>1</v>
      </c>
      <c r="F256" s="46" t="str">
        <f t="shared" si="11"/>
        <v>Matavfallskärl</v>
      </c>
      <c r="G256" s="46" t="s">
        <v>2468</v>
      </c>
    </row>
    <row r="257" spans="1:7">
      <c r="A257" s="43" t="s">
        <v>2462</v>
      </c>
      <c r="B257" s="50" t="str">
        <f>CONCATENATE(VLOOKUP(C257,'Butiksobjekt steg 2'!A:B,2,FALSE)," ",A257)</f>
        <v>Hemköp Leksand C Kuundvagnsgarage</v>
      </c>
      <c r="C257" s="43">
        <v>85</v>
      </c>
      <c r="D257" s="45">
        <f t="shared" ca="1" si="9"/>
        <v>14</v>
      </c>
      <c r="E257" s="46">
        <f t="shared" ca="1" si="10"/>
        <v>2</v>
      </c>
      <c r="F257" s="46" t="str">
        <f t="shared" si="11"/>
        <v>Kuundvagnsgarage</v>
      </c>
      <c r="G257" s="46" t="s">
        <v>2469</v>
      </c>
    </row>
    <row r="258" spans="1:7">
      <c r="A258" s="43" t="s">
        <v>2460</v>
      </c>
      <c r="B258" s="50" t="str">
        <f>CONCATENATE(VLOOKUP(C258,'Butiksobjekt steg 2'!A:B,2,FALSE)," ",A258)</f>
        <v>Hemköp Lerum Pantkärl</v>
      </c>
      <c r="C258" s="43">
        <v>86</v>
      </c>
      <c r="D258" s="45">
        <f t="shared" ca="1" si="9"/>
        <v>43</v>
      </c>
      <c r="E258" s="46">
        <f t="shared" ca="1" si="10"/>
        <v>5</v>
      </c>
      <c r="F258" s="46" t="str">
        <f t="shared" si="11"/>
        <v>Pantkärl</v>
      </c>
      <c r="G258" s="46" t="s">
        <v>2470</v>
      </c>
    </row>
    <row r="259" spans="1:7">
      <c r="A259" s="43" t="s">
        <v>2461</v>
      </c>
      <c r="B259" s="50" t="str">
        <f>CONCATENATE(VLOOKUP(C259,'Butiksobjekt steg 2'!A:B,2,FALSE)," ",A259)</f>
        <v>Hemköp Lerum Matavfallskärl</v>
      </c>
      <c r="C259" s="43">
        <v>86</v>
      </c>
      <c r="D259" s="45">
        <f t="shared" ca="1" si="9"/>
        <v>10</v>
      </c>
      <c r="E259" s="46">
        <f t="shared" ca="1" si="10"/>
        <v>4</v>
      </c>
      <c r="F259" s="46" t="str">
        <f t="shared" si="11"/>
        <v>Matavfallskärl</v>
      </c>
      <c r="G259" s="46" t="s">
        <v>2468</v>
      </c>
    </row>
    <row r="260" spans="1:7">
      <c r="A260" s="43" t="s">
        <v>2462</v>
      </c>
      <c r="B260" s="50" t="str">
        <f>CONCATENATE(VLOOKUP(C260,'Butiksobjekt steg 2'!A:B,2,FALSE)," ",A260)</f>
        <v>Hemköp Lerum Kuundvagnsgarage</v>
      </c>
      <c r="C260" s="43">
        <v>86</v>
      </c>
      <c r="D260" s="45">
        <f t="shared" ref="D260:D323" ca="1" si="12">RANDBETWEEN(8,53)</f>
        <v>36</v>
      </c>
      <c r="E260" s="46">
        <f t="shared" ref="E260:E323" ca="1" si="13">RANDBETWEEN(1,5)</f>
        <v>4</v>
      </c>
      <c r="F260" s="46" t="str">
        <f t="shared" si="11"/>
        <v>Kuundvagnsgarage</v>
      </c>
      <c r="G260" s="46" t="s">
        <v>2469</v>
      </c>
    </row>
    <row r="261" spans="1:7">
      <c r="A261" s="43" t="s">
        <v>2460</v>
      </c>
      <c r="B261" s="50" t="str">
        <f>CONCATENATE(VLOOKUP(C261,'Butiksobjekt steg 2'!A:B,2,FALSE)," ",A261)</f>
        <v>Hemköp Lidingö Brevik  Pantkärl</v>
      </c>
      <c r="C261" s="43">
        <v>87</v>
      </c>
      <c r="D261" s="45">
        <f t="shared" ca="1" si="12"/>
        <v>14</v>
      </c>
      <c r="E261" s="46">
        <f t="shared" ca="1" si="13"/>
        <v>4</v>
      </c>
      <c r="F261" s="46" t="str">
        <f t="shared" ref="F261:F324" si="14">A261</f>
        <v>Pantkärl</v>
      </c>
      <c r="G261" s="46" t="s">
        <v>2470</v>
      </c>
    </row>
    <row r="262" spans="1:7">
      <c r="A262" s="43" t="s">
        <v>2461</v>
      </c>
      <c r="B262" s="50" t="str">
        <f>CONCATENATE(VLOOKUP(C262,'Butiksobjekt steg 2'!A:B,2,FALSE)," ",A262)</f>
        <v>Hemköp Lidingö Brevik  Matavfallskärl</v>
      </c>
      <c r="C262" s="43">
        <v>87</v>
      </c>
      <c r="D262" s="45">
        <f t="shared" ca="1" si="12"/>
        <v>49</v>
      </c>
      <c r="E262" s="46">
        <f t="shared" ca="1" si="13"/>
        <v>2</v>
      </c>
      <c r="F262" s="46" t="str">
        <f t="shared" si="14"/>
        <v>Matavfallskärl</v>
      </c>
      <c r="G262" s="46" t="s">
        <v>2468</v>
      </c>
    </row>
    <row r="263" spans="1:7">
      <c r="A263" s="43" t="s">
        <v>2462</v>
      </c>
      <c r="B263" s="50" t="str">
        <f>CONCATENATE(VLOOKUP(C263,'Butiksobjekt steg 2'!A:B,2,FALSE)," ",A263)</f>
        <v>Hemköp Lidingö Brevik  Kuundvagnsgarage</v>
      </c>
      <c r="C263" s="43">
        <v>87</v>
      </c>
      <c r="D263" s="45">
        <f t="shared" ca="1" si="12"/>
        <v>53</v>
      </c>
      <c r="E263" s="46">
        <f t="shared" ca="1" si="13"/>
        <v>1</v>
      </c>
      <c r="F263" s="46" t="str">
        <f t="shared" si="14"/>
        <v>Kuundvagnsgarage</v>
      </c>
      <c r="G263" s="46" t="s">
        <v>2469</v>
      </c>
    </row>
    <row r="264" spans="1:7">
      <c r="A264" s="43" t="s">
        <v>2460</v>
      </c>
      <c r="B264" s="50" t="str">
        <f>CONCATENATE(VLOOKUP(C264,'Butiksobjekt steg 2'!A:B,2,FALSE)," ",A264)</f>
        <v>Hemköp Lidköping C Pantkärl</v>
      </c>
      <c r="C264" s="43">
        <v>88</v>
      </c>
      <c r="D264" s="45">
        <f t="shared" ca="1" si="12"/>
        <v>30</v>
      </c>
      <c r="E264" s="46">
        <f t="shared" ca="1" si="13"/>
        <v>5</v>
      </c>
      <c r="F264" s="46" t="str">
        <f t="shared" si="14"/>
        <v>Pantkärl</v>
      </c>
      <c r="G264" s="46" t="s">
        <v>2470</v>
      </c>
    </row>
    <row r="265" spans="1:7">
      <c r="A265" s="43" t="s">
        <v>2461</v>
      </c>
      <c r="B265" s="50" t="str">
        <f>CONCATENATE(VLOOKUP(C265,'Butiksobjekt steg 2'!A:B,2,FALSE)," ",A265)</f>
        <v>Hemköp Lidköping C Matavfallskärl</v>
      </c>
      <c r="C265" s="43">
        <v>88</v>
      </c>
      <c r="D265" s="45">
        <f t="shared" ca="1" si="12"/>
        <v>30</v>
      </c>
      <c r="E265" s="46">
        <f t="shared" ca="1" si="13"/>
        <v>3</v>
      </c>
      <c r="F265" s="46" t="str">
        <f t="shared" si="14"/>
        <v>Matavfallskärl</v>
      </c>
      <c r="G265" s="46" t="s">
        <v>2468</v>
      </c>
    </row>
    <row r="266" spans="1:7">
      <c r="A266" s="43" t="s">
        <v>2462</v>
      </c>
      <c r="B266" s="50" t="str">
        <f>CONCATENATE(VLOOKUP(C266,'Butiksobjekt steg 2'!A:B,2,FALSE)," ",A266)</f>
        <v>Hemköp Lidköping C Kuundvagnsgarage</v>
      </c>
      <c r="C266" s="43">
        <v>88</v>
      </c>
      <c r="D266" s="45">
        <f t="shared" ca="1" si="12"/>
        <v>16</v>
      </c>
      <c r="E266" s="46">
        <f t="shared" ca="1" si="13"/>
        <v>4</v>
      </c>
      <c r="F266" s="46" t="str">
        <f t="shared" si="14"/>
        <v>Kuundvagnsgarage</v>
      </c>
      <c r="G266" s="46" t="s">
        <v>2469</v>
      </c>
    </row>
    <row r="267" spans="1:7">
      <c r="A267" s="43" t="s">
        <v>2460</v>
      </c>
      <c r="B267" s="50" t="str">
        <f>CONCATENATE(VLOOKUP(C267,'Butiksobjekt steg 2'!A:B,2,FALSE)," ",A267)</f>
        <v>Hemköp Lindesberg Bergslagsvägen Pantkärl</v>
      </c>
      <c r="C267" s="43">
        <v>89</v>
      </c>
      <c r="D267" s="45">
        <f t="shared" ca="1" si="12"/>
        <v>31</v>
      </c>
      <c r="E267" s="46">
        <f t="shared" ca="1" si="13"/>
        <v>3</v>
      </c>
      <c r="F267" s="46" t="str">
        <f t="shared" si="14"/>
        <v>Pantkärl</v>
      </c>
      <c r="G267" s="46" t="s">
        <v>2470</v>
      </c>
    </row>
    <row r="268" spans="1:7">
      <c r="A268" s="43" t="s">
        <v>2461</v>
      </c>
      <c r="B268" s="50" t="str">
        <f>CONCATENATE(VLOOKUP(C268,'Butiksobjekt steg 2'!A:B,2,FALSE)," ",A268)</f>
        <v>Hemköp Lindesberg Bergslagsvägen Matavfallskärl</v>
      </c>
      <c r="C268" s="43">
        <v>89</v>
      </c>
      <c r="D268" s="45">
        <f t="shared" ca="1" si="12"/>
        <v>10</v>
      </c>
      <c r="E268" s="46">
        <f t="shared" ca="1" si="13"/>
        <v>4</v>
      </c>
      <c r="F268" s="46" t="str">
        <f t="shared" si="14"/>
        <v>Matavfallskärl</v>
      </c>
      <c r="G268" s="46" t="s">
        <v>2468</v>
      </c>
    </row>
    <row r="269" spans="1:7">
      <c r="A269" s="43" t="s">
        <v>2462</v>
      </c>
      <c r="B269" s="50" t="str">
        <f>CONCATENATE(VLOOKUP(C269,'Butiksobjekt steg 2'!A:B,2,FALSE)," ",A269)</f>
        <v>Hemköp Lindesberg Bergslagsvägen Kuundvagnsgarage</v>
      </c>
      <c r="C269" s="43">
        <v>89</v>
      </c>
      <c r="D269" s="45">
        <f t="shared" ca="1" si="12"/>
        <v>40</v>
      </c>
      <c r="E269" s="46">
        <f t="shared" ca="1" si="13"/>
        <v>2</v>
      </c>
      <c r="F269" s="46" t="str">
        <f t="shared" si="14"/>
        <v>Kuundvagnsgarage</v>
      </c>
      <c r="G269" s="46" t="s">
        <v>2469</v>
      </c>
    </row>
    <row r="270" spans="1:7">
      <c r="A270" s="43" t="s">
        <v>2460</v>
      </c>
      <c r="B270" s="50" t="str">
        <f>CONCATENATE(VLOOKUP(C270,'Butiksobjekt steg 2'!A:B,2,FALSE)," ",A270)</f>
        <v>Hemköp Linköping Lucullus Pantkärl</v>
      </c>
      <c r="C270" s="43">
        <v>90</v>
      </c>
      <c r="D270" s="45">
        <f t="shared" ca="1" si="12"/>
        <v>13</v>
      </c>
      <c r="E270" s="46">
        <f t="shared" ca="1" si="13"/>
        <v>3</v>
      </c>
      <c r="F270" s="46" t="str">
        <f t="shared" si="14"/>
        <v>Pantkärl</v>
      </c>
      <c r="G270" s="46" t="s">
        <v>2470</v>
      </c>
    </row>
    <row r="271" spans="1:7">
      <c r="A271" s="43" t="s">
        <v>2461</v>
      </c>
      <c r="B271" s="50" t="str">
        <f>CONCATENATE(VLOOKUP(C271,'Butiksobjekt steg 2'!A:B,2,FALSE)," ",A271)</f>
        <v>Hemköp Linköping Lucullus Matavfallskärl</v>
      </c>
      <c r="C271" s="43">
        <v>90</v>
      </c>
      <c r="D271" s="45">
        <f t="shared" ca="1" si="12"/>
        <v>28</v>
      </c>
      <c r="E271" s="46">
        <f t="shared" ca="1" si="13"/>
        <v>1</v>
      </c>
      <c r="F271" s="46" t="str">
        <f t="shared" si="14"/>
        <v>Matavfallskärl</v>
      </c>
      <c r="G271" s="46" t="s">
        <v>2468</v>
      </c>
    </row>
    <row r="272" spans="1:7">
      <c r="A272" s="43" t="s">
        <v>2462</v>
      </c>
      <c r="B272" s="50" t="str">
        <f>CONCATENATE(VLOOKUP(C272,'Butiksobjekt steg 2'!A:B,2,FALSE)," ",A272)</f>
        <v>Hemköp Linköping Lucullus Kuundvagnsgarage</v>
      </c>
      <c r="C272" s="43">
        <v>90</v>
      </c>
      <c r="D272" s="45">
        <f t="shared" ca="1" si="12"/>
        <v>44</v>
      </c>
      <c r="E272" s="46">
        <f t="shared" ca="1" si="13"/>
        <v>2</v>
      </c>
      <c r="F272" s="46" t="str">
        <f t="shared" si="14"/>
        <v>Kuundvagnsgarage</v>
      </c>
      <c r="G272" s="46" t="s">
        <v>2469</v>
      </c>
    </row>
    <row r="273" spans="1:7">
      <c r="A273" s="43" t="s">
        <v>2460</v>
      </c>
      <c r="B273" s="50" t="str">
        <f>CONCATENATE(VLOOKUP(C273,'Butiksobjekt steg 2'!A:B,2,FALSE)," ",A273)</f>
        <v>Hemköp Linköping Ryd Pantkärl</v>
      </c>
      <c r="C273" s="43">
        <v>91</v>
      </c>
      <c r="D273" s="45">
        <f t="shared" ca="1" si="12"/>
        <v>37</v>
      </c>
      <c r="E273" s="46">
        <f t="shared" ca="1" si="13"/>
        <v>5</v>
      </c>
      <c r="F273" s="46" t="str">
        <f t="shared" si="14"/>
        <v>Pantkärl</v>
      </c>
      <c r="G273" s="46" t="s">
        <v>2470</v>
      </c>
    </row>
    <row r="274" spans="1:7">
      <c r="A274" s="43" t="s">
        <v>2461</v>
      </c>
      <c r="B274" s="50" t="str">
        <f>CONCATENATE(VLOOKUP(C274,'Butiksobjekt steg 2'!A:B,2,FALSE)," ",A274)</f>
        <v>Hemköp Linköping Ryd Matavfallskärl</v>
      </c>
      <c r="C274" s="43">
        <v>91</v>
      </c>
      <c r="D274" s="45">
        <f t="shared" ca="1" si="12"/>
        <v>20</v>
      </c>
      <c r="E274" s="46">
        <f t="shared" ca="1" si="13"/>
        <v>4</v>
      </c>
      <c r="F274" s="46" t="str">
        <f t="shared" si="14"/>
        <v>Matavfallskärl</v>
      </c>
      <c r="G274" s="46" t="s">
        <v>2468</v>
      </c>
    </row>
    <row r="275" spans="1:7">
      <c r="A275" s="43" t="s">
        <v>2462</v>
      </c>
      <c r="B275" s="50" t="str">
        <f>CONCATENATE(VLOOKUP(C275,'Butiksobjekt steg 2'!A:B,2,FALSE)," ",A275)</f>
        <v>Hemköp Linköping Ryd Kuundvagnsgarage</v>
      </c>
      <c r="C275" s="43">
        <v>91</v>
      </c>
      <c r="D275" s="45">
        <f t="shared" ca="1" si="12"/>
        <v>28</v>
      </c>
      <c r="E275" s="46">
        <f t="shared" ca="1" si="13"/>
        <v>2</v>
      </c>
      <c r="F275" s="46" t="str">
        <f t="shared" si="14"/>
        <v>Kuundvagnsgarage</v>
      </c>
      <c r="G275" s="46" t="s">
        <v>2469</v>
      </c>
    </row>
    <row r="276" spans="1:7">
      <c r="A276" s="43" t="s">
        <v>2460</v>
      </c>
      <c r="B276" s="50" t="str">
        <f>CONCATENATE(VLOOKUP(C276,'Butiksobjekt steg 2'!A:B,2,FALSE)," ",A276)</f>
        <v>Hemköp Linköping Storgatan Pantkärl</v>
      </c>
      <c r="C276" s="43">
        <v>92</v>
      </c>
      <c r="D276" s="45">
        <f t="shared" ca="1" si="12"/>
        <v>12</v>
      </c>
      <c r="E276" s="46">
        <f t="shared" ca="1" si="13"/>
        <v>1</v>
      </c>
      <c r="F276" s="46" t="str">
        <f t="shared" si="14"/>
        <v>Pantkärl</v>
      </c>
      <c r="G276" s="46" t="s">
        <v>2470</v>
      </c>
    </row>
    <row r="277" spans="1:7">
      <c r="A277" s="43" t="s">
        <v>2461</v>
      </c>
      <c r="B277" s="50" t="str">
        <f>CONCATENATE(VLOOKUP(C277,'Butiksobjekt steg 2'!A:B,2,FALSE)," ",A277)</f>
        <v>Hemköp Linköping Storgatan Matavfallskärl</v>
      </c>
      <c r="C277" s="43">
        <v>92</v>
      </c>
      <c r="D277" s="45">
        <f t="shared" ca="1" si="12"/>
        <v>41</v>
      </c>
      <c r="E277" s="46">
        <f t="shared" ca="1" si="13"/>
        <v>3</v>
      </c>
      <c r="F277" s="46" t="str">
        <f t="shared" si="14"/>
        <v>Matavfallskärl</v>
      </c>
      <c r="G277" s="46" t="s">
        <v>2468</v>
      </c>
    </row>
    <row r="278" spans="1:7">
      <c r="A278" s="43" t="s">
        <v>2462</v>
      </c>
      <c r="B278" s="50" t="str">
        <f>CONCATENATE(VLOOKUP(C278,'Butiksobjekt steg 2'!A:B,2,FALSE)," ",A278)</f>
        <v>Hemköp Linköping Storgatan Kuundvagnsgarage</v>
      </c>
      <c r="C278" s="43">
        <v>92</v>
      </c>
      <c r="D278" s="45">
        <f t="shared" ca="1" si="12"/>
        <v>51</v>
      </c>
      <c r="E278" s="46">
        <f t="shared" ca="1" si="13"/>
        <v>5</v>
      </c>
      <c r="F278" s="46" t="str">
        <f t="shared" si="14"/>
        <v>Kuundvagnsgarage</v>
      </c>
      <c r="G278" s="46" t="s">
        <v>2469</v>
      </c>
    </row>
    <row r="279" spans="1:7">
      <c r="A279" s="43" t="s">
        <v>2460</v>
      </c>
      <c r="B279" s="50" t="str">
        <f>CONCATENATE(VLOOKUP(C279,'Butiksobjekt steg 2'!A:B,2,FALSE)," ",A279)</f>
        <v>Hemköp Linköping Tallboda Pantkärl</v>
      </c>
      <c r="C279" s="43">
        <v>93</v>
      </c>
      <c r="D279" s="45">
        <f t="shared" ca="1" si="12"/>
        <v>11</v>
      </c>
      <c r="E279" s="46">
        <f t="shared" ca="1" si="13"/>
        <v>4</v>
      </c>
      <c r="F279" s="46" t="str">
        <f t="shared" si="14"/>
        <v>Pantkärl</v>
      </c>
      <c r="G279" s="46" t="s">
        <v>2470</v>
      </c>
    </row>
    <row r="280" spans="1:7">
      <c r="A280" s="43" t="s">
        <v>2461</v>
      </c>
      <c r="B280" s="50" t="str">
        <f>CONCATENATE(VLOOKUP(C280,'Butiksobjekt steg 2'!A:B,2,FALSE)," ",A280)</f>
        <v>Hemköp Linköping Tallboda Matavfallskärl</v>
      </c>
      <c r="C280" s="43">
        <v>93</v>
      </c>
      <c r="D280" s="45">
        <f t="shared" ca="1" si="12"/>
        <v>25</v>
      </c>
      <c r="E280" s="46">
        <f t="shared" ca="1" si="13"/>
        <v>1</v>
      </c>
      <c r="F280" s="46" t="str">
        <f t="shared" si="14"/>
        <v>Matavfallskärl</v>
      </c>
      <c r="G280" s="46" t="s">
        <v>2468</v>
      </c>
    </row>
    <row r="281" spans="1:7">
      <c r="A281" s="43" t="s">
        <v>2462</v>
      </c>
      <c r="B281" s="50" t="str">
        <f>CONCATENATE(VLOOKUP(C281,'Butiksobjekt steg 2'!A:B,2,FALSE)," ",A281)</f>
        <v>Hemköp Linköping Tallboda Kuundvagnsgarage</v>
      </c>
      <c r="C281" s="43">
        <v>93</v>
      </c>
      <c r="D281" s="45">
        <f t="shared" ca="1" si="12"/>
        <v>17</v>
      </c>
      <c r="E281" s="46">
        <f t="shared" ca="1" si="13"/>
        <v>4</v>
      </c>
      <c r="F281" s="46" t="str">
        <f t="shared" si="14"/>
        <v>Kuundvagnsgarage</v>
      </c>
      <c r="G281" s="46" t="s">
        <v>2469</v>
      </c>
    </row>
    <row r="282" spans="1:7">
      <c r="A282" s="43" t="s">
        <v>2460</v>
      </c>
      <c r="B282" s="50" t="str">
        <f>CONCATENATE(VLOOKUP(C282,'Butiksobjekt steg 2'!A:B,2,FALSE)," ",A282)</f>
        <v>Hemköp Linköping Vasastaden Pantkärl</v>
      </c>
      <c r="C282" s="43">
        <v>94</v>
      </c>
      <c r="D282" s="45">
        <f t="shared" ca="1" si="12"/>
        <v>12</v>
      </c>
      <c r="E282" s="46">
        <f t="shared" ca="1" si="13"/>
        <v>3</v>
      </c>
      <c r="F282" s="46" t="str">
        <f t="shared" si="14"/>
        <v>Pantkärl</v>
      </c>
      <c r="G282" s="46" t="s">
        <v>2470</v>
      </c>
    </row>
    <row r="283" spans="1:7">
      <c r="A283" s="43" t="s">
        <v>2461</v>
      </c>
      <c r="B283" s="50" t="str">
        <f>CONCATENATE(VLOOKUP(C283,'Butiksobjekt steg 2'!A:B,2,FALSE)," ",A283)</f>
        <v>Hemköp Linköping Vasastaden Matavfallskärl</v>
      </c>
      <c r="C283" s="43">
        <v>94</v>
      </c>
      <c r="D283" s="45">
        <f t="shared" ca="1" si="12"/>
        <v>34</v>
      </c>
      <c r="E283" s="46">
        <f t="shared" ca="1" si="13"/>
        <v>5</v>
      </c>
      <c r="F283" s="46" t="str">
        <f t="shared" si="14"/>
        <v>Matavfallskärl</v>
      </c>
      <c r="G283" s="46" t="s">
        <v>2468</v>
      </c>
    </row>
    <row r="284" spans="1:7">
      <c r="A284" s="43" t="s">
        <v>2462</v>
      </c>
      <c r="B284" s="50" t="str">
        <f>CONCATENATE(VLOOKUP(C284,'Butiksobjekt steg 2'!A:B,2,FALSE)," ",A284)</f>
        <v>Hemköp Linköping Vasastaden Kuundvagnsgarage</v>
      </c>
      <c r="C284" s="43">
        <v>94</v>
      </c>
      <c r="D284" s="45">
        <f t="shared" ca="1" si="12"/>
        <v>39</v>
      </c>
      <c r="E284" s="46">
        <f t="shared" ca="1" si="13"/>
        <v>2</v>
      </c>
      <c r="F284" s="46" t="str">
        <f t="shared" si="14"/>
        <v>Kuundvagnsgarage</v>
      </c>
      <c r="G284" s="46" t="s">
        <v>2469</v>
      </c>
    </row>
    <row r="285" spans="1:7">
      <c r="A285" s="43" t="s">
        <v>2460</v>
      </c>
      <c r="B285" s="50" t="str">
        <f>CONCATENATE(VLOOKUP(C285,'Butiksobjekt steg 2'!A:B,2,FALSE)," ",A285)</f>
        <v>Hemköp Ljungbyhed C Pantkärl</v>
      </c>
      <c r="C285" s="43">
        <v>95</v>
      </c>
      <c r="D285" s="45">
        <f t="shared" ca="1" si="12"/>
        <v>42</v>
      </c>
      <c r="E285" s="46">
        <f t="shared" ca="1" si="13"/>
        <v>3</v>
      </c>
      <c r="F285" s="46" t="str">
        <f t="shared" si="14"/>
        <v>Pantkärl</v>
      </c>
      <c r="G285" s="46" t="s">
        <v>2470</v>
      </c>
    </row>
    <row r="286" spans="1:7">
      <c r="A286" s="43" t="s">
        <v>2461</v>
      </c>
      <c r="B286" s="50" t="str">
        <f>CONCATENATE(VLOOKUP(C286,'Butiksobjekt steg 2'!A:B,2,FALSE)," ",A286)</f>
        <v>Hemköp Ljungbyhed C Matavfallskärl</v>
      </c>
      <c r="C286" s="43">
        <v>95</v>
      </c>
      <c r="D286" s="45">
        <f t="shared" ca="1" si="12"/>
        <v>51</v>
      </c>
      <c r="E286" s="46">
        <f t="shared" ca="1" si="13"/>
        <v>5</v>
      </c>
      <c r="F286" s="46" t="str">
        <f t="shared" si="14"/>
        <v>Matavfallskärl</v>
      </c>
      <c r="G286" s="46" t="s">
        <v>2468</v>
      </c>
    </row>
    <row r="287" spans="1:7">
      <c r="A287" s="43" t="s">
        <v>2462</v>
      </c>
      <c r="B287" s="50" t="str">
        <f>CONCATENATE(VLOOKUP(C287,'Butiksobjekt steg 2'!A:B,2,FALSE)," ",A287)</f>
        <v>Hemköp Ljungbyhed C Kuundvagnsgarage</v>
      </c>
      <c r="C287" s="43">
        <v>95</v>
      </c>
      <c r="D287" s="45">
        <f t="shared" ca="1" si="12"/>
        <v>16</v>
      </c>
      <c r="E287" s="46">
        <f t="shared" ca="1" si="13"/>
        <v>1</v>
      </c>
      <c r="F287" s="46" t="str">
        <f t="shared" si="14"/>
        <v>Kuundvagnsgarage</v>
      </c>
      <c r="G287" s="46" t="s">
        <v>2469</v>
      </c>
    </row>
    <row r="288" spans="1:7">
      <c r="A288" s="43" t="s">
        <v>2460</v>
      </c>
      <c r="B288" s="50" t="str">
        <f>CONCATENATE(VLOOKUP(C288,'Butiksobjekt steg 2'!A:B,2,FALSE)," ",A288)</f>
        <v>Hemköp Ljungsbro C Pantkärl</v>
      </c>
      <c r="C288" s="43">
        <v>96</v>
      </c>
      <c r="D288" s="45">
        <f t="shared" ca="1" si="12"/>
        <v>25</v>
      </c>
      <c r="E288" s="46">
        <f t="shared" ca="1" si="13"/>
        <v>5</v>
      </c>
      <c r="F288" s="46" t="str">
        <f t="shared" si="14"/>
        <v>Pantkärl</v>
      </c>
      <c r="G288" s="46" t="s">
        <v>2470</v>
      </c>
    </row>
    <row r="289" spans="1:7">
      <c r="A289" s="43" t="s">
        <v>2461</v>
      </c>
      <c r="B289" s="50" t="str">
        <f>CONCATENATE(VLOOKUP(C289,'Butiksobjekt steg 2'!A:B,2,FALSE)," ",A289)</f>
        <v>Hemköp Ljungsbro C Matavfallskärl</v>
      </c>
      <c r="C289" s="43">
        <v>96</v>
      </c>
      <c r="D289" s="45">
        <f t="shared" ca="1" si="12"/>
        <v>43</v>
      </c>
      <c r="E289" s="46">
        <f t="shared" ca="1" si="13"/>
        <v>3</v>
      </c>
      <c r="F289" s="46" t="str">
        <f t="shared" si="14"/>
        <v>Matavfallskärl</v>
      </c>
      <c r="G289" s="46" t="s">
        <v>2468</v>
      </c>
    </row>
    <row r="290" spans="1:7">
      <c r="A290" s="43" t="s">
        <v>2462</v>
      </c>
      <c r="B290" s="50" t="str">
        <f>CONCATENATE(VLOOKUP(C290,'Butiksobjekt steg 2'!A:B,2,FALSE)," ",A290)</f>
        <v>Hemköp Ljungsbro C Kuundvagnsgarage</v>
      </c>
      <c r="C290" s="43">
        <v>96</v>
      </c>
      <c r="D290" s="45">
        <f t="shared" ca="1" si="12"/>
        <v>21</v>
      </c>
      <c r="E290" s="46">
        <f t="shared" ca="1" si="13"/>
        <v>2</v>
      </c>
      <c r="F290" s="46" t="str">
        <f t="shared" si="14"/>
        <v>Kuundvagnsgarage</v>
      </c>
      <c r="G290" s="46" t="s">
        <v>2469</v>
      </c>
    </row>
    <row r="291" spans="1:7">
      <c r="A291" s="43" t="s">
        <v>2460</v>
      </c>
      <c r="B291" s="50" t="str">
        <f>CONCATENATE(VLOOKUP(C291,'Butiksobjekt steg 2'!A:B,2,FALSE)," ",A291)</f>
        <v>Hemköp Lund Brunnshög Pantkärl</v>
      </c>
      <c r="C291" s="43">
        <v>97</v>
      </c>
      <c r="D291" s="45">
        <f t="shared" ca="1" si="12"/>
        <v>21</v>
      </c>
      <c r="E291" s="46">
        <f t="shared" ca="1" si="13"/>
        <v>4</v>
      </c>
      <c r="F291" s="46" t="str">
        <f t="shared" si="14"/>
        <v>Pantkärl</v>
      </c>
      <c r="G291" s="46" t="s">
        <v>2470</v>
      </c>
    </row>
    <row r="292" spans="1:7">
      <c r="A292" s="43" t="s">
        <v>2461</v>
      </c>
      <c r="B292" s="50" t="str">
        <f>CONCATENATE(VLOOKUP(C292,'Butiksobjekt steg 2'!A:B,2,FALSE)," ",A292)</f>
        <v>Hemköp Lund Brunnshög Matavfallskärl</v>
      </c>
      <c r="C292" s="43">
        <v>97</v>
      </c>
      <c r="D292" s="45">
        <f t="shared" ca="1" si="12"/>
        <v>42</v>
      </c>
      <c r="E292" s="46">
        <f t="shared" ca="1" si="13"/>
        <v>5</v>
      </c>
      <c r="F292" s="46" t="str">
        <f t="shared" si="14"/>
        <v>Matavfallskärl</v>
      </c>
      <c r="G292" s="46" t="s">
        <v>2468</v>
      </c>
    </row>
    <row r="293" spans="1:7">
      <c r="A293" s="43" t="s">
        <v>2462</v>
      </c>
      <c r="B293" s="50" t="str">
        <f>CONCATENATE(VLOOKUP(C293,'Butiksobjekt steg 2'!A:B,2,FALSE)," ",A293)</f>
        <v>Hemköp Lund Brunnshög Kuundvagnsgarage</v>
      </c>
      <c r="C293" s="43">
        <v>97</v>
      </c>
      <c r="D293" s="45">
        <f t="shared" ca="1" si="12"/>
        <v>42</v>
      </c>
      <c r="E293" s="46">
        <f t="shared" ca="1" si="13"/>
        <v>5</v>
      </c>
      <c r="F293" s="46" t="str">
        <f t="shared" si="14"/>
        <v>Kuundvagnsgarage</v>
      </c>
      <c r="G293" s="46" t="s">
        <v>2469</v>
      </c>
    </row>
    <row r="294" spans="1:7">
      <c r="A294" s="43" t="s">
        <v>2460</v>
      </c>
      <c r="B294" s="50" t="str">
        <f>CONCATENATE(VLOOKUP(C294,'Butiksobjekt steg 2'!A:B,2,FALSE)," ",A294)</f>
        <v>Hemköp Lund Karhögstorg Pantkärl</v>
      </c>
      <c r="C294" s="43">
        <v>98</v>
      </c>
      <c r="D294" s="45">
        <f t="shared" ca="1" si="12"/>
        <v>39</v>
      </c>
      <c r="E294" s="46">
        <f t="shared" ca="1" si="13"/>
        <v>4</v>
      </c>
      <c r="F294" s="46" t="str">
        <f t="shared" si="14"/>
        <v>Pantkärl</v>
      </c>
      <c r="G294" s="46" t="s">
        <v>2470</v>
      </c>
    </row>
    <row r="295" spans="1:7">
      <c r="A295" s="43" t="s">
        <v>2461</v>
      </c>
      <c r="B295" s="50" t="str">
        <f>CONCATENATE(VLOOKUP(C295,'Butiksobjekt steg 2'!A:B,2,FALSE)," ",A295)</f>
        <v>Hemköp Lund Karhögstorg Matavfallskärl</v>
      </c>
      <c r="C295" s="43">
        <v>98</v>
      </c>
      <c r="D295" s="45">
        <f t="shared" ca="1" si="12"/>
        <v>42</v>
      </c>
      <c r="E295" s="46">
        <f t="shared" ca="1" si="13"/>
        <v>1</v>
      </c>
      <c r="F295" s="46" t="str">
        <f t="shared" si="14"/>
        <v>Matavfallskärl</v>
      </c>
      <c r="G295" s="46" t="s">
        <v>2468</v>
      </c>
    </row>
    <row r="296" spans="1:7">
      <c r="A296" s="43" t="s">
        <v>2462</v>
      </c>
      <c r="B296" s="50" t="str">
        <f>CONCATENATE(VLOOKUP(C296,'Butiksobjekt steg 2'!A:B,2,FALSE)," ",A296)</f>
        <v>Hemköp Lund Karhögstorg Kuundvagnsgarage</v>
      </c>
      <c r="C296" s="43">
        <v>98</v>
      </c>
      <c r="D296" s="45">
        <f t="shared" ca="1" si="12"/>
        <v>12</v>
      </c>
      <c r="E296" s="46">
        <f t="shared" ca="1" si="13"/>
        <v>2</v>
      </c>
      <c r="F296" s="46" t="str">
        <f t="shared" si="14"/>
        <v>Kuundvagnsgarage</v>
      </c>
      <c r="G296" s="46" t="s">
        <v>2469</v>
      </c>
    </row>
    <row r="297" spans="1:7">
      <c r="A297" s="43" t="s">
        <v>2460</v>
      </c>
      <c r="B297" s="50" t="str">
        <f>CONCATENATE(VLOOKUP(C297,'Butiksobjekt steg 2'!A:B,2,FALSE)," ",A297)</f>
        <v>Hemköp Malmköping Torget Pantkärl</v>
      </c>
      <c r="C297" s="43">
        <v>99</v>
      </c>
      <c r="D297" s="45">
        <f t="shared" ca="1" si="12"/>
        <v>47</v>
      </c>
      <c r="E297" s="46">
        <f t="shared" ca="1" si="13"/>
        <v>5</v>
      </c>
      <c r="F297" s="46" t="str">
        <f t="shared" si="14"/>
        <v>Pantkärl</v>
      </c>
      <c r="G297" s="46" t="s">
        <v>2470</v>
      </c>
    </row>
    <row r="298" spans="1:7">
      <c r="A298" s="43" t="s">
        <v>2461</v>
      </c>
      <c r="B298" s="50" t="str">
        <f>CONCATENATE(VLOOKUP(C298,'Butiksobjekt steg 2'!A:B,2,FALSE)," ",A298)</f>
        <v>Hemköp Malmköping Torget Matavfallskärl</v>
      </c>
      <c r="C298" s="43">
        <v>99</v>
      </c>
      <c r="D298" s="45">
        <f t="shared" ca="1" si="12"/>
        <v>14</v>
      </c>
      <c r="E298" s="46">
        <f t="shared" ca="1" si="13"/>
        <v>1</v>
      </c>
      <c r="F298" s="46" t="str">
        <f t="shared" si="14"/>
        <v>Matavfallskärl</v>
      </c>
      <c r="G298" s="46" t="s">
        <v>2468</v>
      </c>
    </row>
    <row r="299" spans="1:7">
      <c r="A299" s="43" t="s">
        <v>2462</v>
      </c>
      <c r="B299" s="50" t="str">
        <f>CONCATENATE(VLOOKUP(C299,'Butiksobjekt steg 2'!A:B,2,FALSE)," ",A299)</f>
        <v>Hemköp Malmköping Torget Kuundvagnsgarage</v>
      </c>
      <c r="C299" s="43">
        <v>99</v>
      </c>
      <c r="D299" s="45">
        <f t="shared" ca="1" si="12"/>
        <v>9</v>
      </c>
      <c r="E299" s="46">
        <f t="shared" ca="1" si="13"/>
        <v>1</v>
      </c>
      <c r="F299" s="46" t="str">
        <f t="shared" si="14"/>
        <v>Kuundvagnsgarage</v>
      </c>
      <c r="G299" s="46" t="s">
        <v>2469</v>
      </c>
    </row>
    <row r="300" spans="1:7">
      <c r="A300" s="43" t="s">
        <v>2460</v>
      </c>
      <c r="B300" s="50" t="str">
        <f>CONCATENATE(VLOOKUP(C300,'Butiksobjekt steg 2'!A:B,2,FALSE)," ",A300)</f>
        <v>Hemköp Malmö Elinegård  Pantkärl</v>
      </c>
      <c r="C300" s="43">
        <v>100</v>
      </c>
      <c r="D300" s="45">
        <f t="shared" ca="1" si="12"/>
        <v>37</v>
      </c>
      <c r="E300" s="46">
        <f t="shared" ca="1" si="13"/>
        <v>4</v>
      </c>
      <c r="F300" s="46" t="str">
        <f t="shared" si="14"/>
        <v>Pantkärl</v>
      </c>
      <c r="G300" s="46" t="s">
        <v>2470</v>
      </c>
    </row>
    <row r="301" spans="1:7">
      <c r="A301" s="43" t="s">
        <v>2461</v>
      </c>
      <c r="B301" s="50" t="str">
        <f>CONCATENATE(VLOOKUP(C301,'Butiksobjekt steg 2'!A:B,2,FALSE)," ",A301)</f>
        <v>Hemköp Malmö Elinegård  Matavfallskärl</v>
      </c>
      <c r="C301" s="43">
        <v>100</v>
      </c>
      <c r="D301" s="45">
        <f t="shared" ca="1" si="12"/>
        <v>16</v>
      </c>
      <c r="E301" s="46">
        <f t="shared" ca="1" si="13"/>
        <v>4</v>
      </c>
      <c r="F301" s="46" t="str">
        <f t="shared" si="14"/>
        <v>Matavfallskärl</v>
      </c>
      <c r="G301" s="46" t="s">
        <v>2468</v>
      </c>
    </row>
    <row r="302" spans="1:7">
      <c r="A302" s="43" t="s">
        <v>2462</v>
      </c>
      <c r="B302" s="50" t="str">
        <f>CONCATENATE(VLOOKUP(C302,'Butiksobjekt steg 2'!A:B,2,FALSE)," ",A302)</f>
        <v>Hemköp Malmö Elinegård  Kuundvagnsgarage</v>
      </c>
      <c r="C302" s="43">
        <v>100</v>
      </c>
      <c r="D302" s="45">
        <f t="shared" ca="1" si="12"/>
        <v>46</v>
      </c>
      <c r="E302" s="46">
        <f t="shared" ca="1" si="13"/>
        <v>3</v>
      </c>
      <c r="F302" s="46" t="str">
        <f t="shared" si="14"/>
        <v>Kuundvagnsgarage</v>
      </c>
      <c r="G302" s="46" t="s">
        <v>2469</v>
      </c>
    </row>
    <row r="303" spans="1:7">
      <c r="A303" s="43" t="s">
        <v>2460</v>
      </c>
      <c r="B303" s="50" t="str">
        <f>CONCATENATE(VLOOKUP(C303,'Butiksobjekt steg 2'!A:B,2,FALSE)," ",A303)</f>
        <v>Hemköp Malmö Kronprinsen Pantkärl</v>
      </c>
      <c r="C303" s="43">
        <v>101</v>
      </c>
      <c r="D303" s="45">
        <f t="shared" ca="1" si="12"/>
        <v>30</v>
      </c>
      <c r="E303" s="46">
        <f t="shared" ca="1" si="13"/>
        <v>4</v>
      </c>
      <c r="F303" s="46" t="str">
        <f t="shared" si="14"/>
        <v>Pantkärl</v>
      </c>
      <c r="G303" s="46" t="s">
        <v>2470</v>
      </c>
    </row>
    <row r="304" spans="1:7">
      <c r="A304" s="43" t="s">
        <v>2461</v>
      </c>
      <c r="B304" s="50" t="str">
        <f>CONCATENATE(VLOOKUP(C304,'Butiksobjekt steg 2'!A:B,2,FALSE)," ",A304)</f>
        <v>Hemköp Malmö Kronprinsen Matavfallskärl</v>
      </c>
      <c r="C304" s="43">
        <v>101</v>
      </c>
      <c r="D304" s="45">
        <f t="shared" ca="1" si="12"/>
        <v>30</v>
      </c>
      <c r="E304" s="46">
        <f t="shared" ca="1" si="13"/>
        <v>4</v>
      </c>
      <c r="F304" s="46" t="str">
        <f t="shared" si="14"/>
        <v>Matavfallskärl</v>
      </c>
      <c r="G304" s="46" t="s">
        <v>2468</v>
      </c>
    </row>
    <row r="305" spans="1:7">
      <c r="A305" s="43" t="s">
        <v>2462</v>
      </c>
      <c r="B305" s="50" t="str">
        <f>CONCATENATE(VLOOKUP(C305,'Butiksobjekt steg 2'!A:B,2,FALSE)," ",A305)</f>
        <v>Hemköp Malmö Kronprinsen Kuundvagnsgarage</v>
      </c>
      <c r="C305" s="43">
        <v>101</v>
      </c>
      <c r="D305" s="45">
        <f t="shared" ca="1" si="12"/>
        <v>14</v>
      </c>
      <c r="E305" s="46">
        <f t="shared" ca="1" si="13"/>
        <v>4</v>
      </c>
      <c r="F305" s="46" t="str">
        <f t="shared" si="14"/>
        <v>Kuundvagnsgarage</v>
      </c>
      <c r="G305" s="46" t="s">
        <v>2469</v>
      </c>
    </row>
    <row r="306" spans="1:7">
      <c r="A306" s="43" t="s">
        <v>2460</v>
      </c>
      <c r="B306" s="50" t="str">
        <f>CONCATENATE(VLOOKUP(C306,'Butiksobjekt steg 2'!A:B,2,FALSE)," ",A306)</f>
        <v>Hemköp Malmö Triangeln Pantkärl</v>
      </c>
      <c r="C306" s="43">
        <v>102</v>
      </c>
      <c r="D306" s="45">
        <f t="shared" ca="1" si="12"/>
        <v>29</v>
      </c>
      <c r="E306" s="46">
        <f t="shared" ca="1" si="13"/>
        <v>3</v>
      </c>
      <c r="F306" s="46" t="str">
        <f t="shared" si="14"/>
        <v>Pantkärl</v>
      </c>
      <c r="G306" s="46" t="s">
        <v>2470</v>
      </c>
    </row>
    <row r="307" spans="1:7">
      <c r="A307" s="43" t="s">
        <v>2461</v>
      </c>
      <c r="B307" s="50" t="str">
        <f>CONCATENATE(VLOOKUP(C307,'Butiksobjekt steg 2'!A:B,2,FALSE)," ",A307)</f>
        <v>Hemköp Malmö Triangeln Matavfallskärl</v>
      </c>
      <c r="C307" s="43">
        <v>102</v>
      </c>
      <c r="D307" s="45">
        <f t="shared" ca="1" si="12"/>
        <v>15</v>
      </c>
      <c r="E307" s="46">
        <f t="shared" ca="1" si="13"/>
        <v>1</v>
      </c>
      <c r="F307" s="46" t="str">
        <f t="shared" si="14"/>
        <v>Matavfallskärl</v>
      </c>
      <c r="G307" s="46" t="s">
        <v>2468</v>
      </c>
    </row>
    <row r="308" spans="1:7">
      <c r="A308" s="43" t="s">
        <v>2462</v>
      </c>
      <c r="B308" s="50" t="str">
        <f>CONCATENATE(VLOOKUP(C308,'Butiksobjekt steg 2'!A:B,2,FALSE)," ",A308)</f>
        <v>Hemköp Malmö Triangeln Kuundvagnsgarage</v>
      </c>
      <c r="C308" s="43">
        <v>102</v>
      </c>
      <c r="D308" s="45">
        <f t="shared" ca="1" si="12"/>
        <v>15</v>
      </c>
      <c r="E308" s="46">
        <f t="shared" ca="1" si="13"/>
        <v>1</v>
      </c>
      <c r="F308" s="46" t="str">
        <f t="shared" si="14"/>
        <v>Kuundvagnsgarage</v>
      </c>
      <c r="G308" s="46" t="s">
        <v>2469</v>
      </c>
    </row>
    <row r="309" spans="1:7">
      <c r="A309" s="43" t="s">
        <v>2460</v>
      </c>
      <c r="B309" s="50" t="str">
        <f>CONCATENATE(VLOOKUP(C309,'Butiksobjekt steg 2'!A:B,2,FALSE)," ",A309)</f>
        <v>Hemköp Malmö Värnhem Pantkärl</v>
      </c>
      <c r="C309" s="43">
        <v>103</v>
      </c>
      <c r="D309" s="45">
        <f t="shared" ca="1" si="12"/>
        <v>38</v>
      </c>
      <c r="E309" s="46">
        <f t="shared" ca="1" si="13"/>
        <v>3</v>
      </c>
      <c r="F309" s="46" t="str">
        <f t="shared" si="14"/>
        <v>Pantkärl</v>
      </c>
      <c r="G309" s="46" t="s">
        <v>2470</v>
      </c>
    </row>
    <row r="310" spans="1:7">
      <c r="A310" s="43" t="s">
        <v>2461</v>
      </c>
      <c r="B310" s="50" t="str">
        <f>CONCATENATE(VLOOKUP(C310,'Butiksobjekt steg 2'!A:B,2,FALSE)," ",A310)</f>
        <v>Hemköp Malmö Värnhem Matavfallskärl</v>
      </c>
      <c r="C310" s="43">
        <v>103</v>
      </c>
      <c r="D310" s="45">
        <f t="shared" ca="1" si="12"/>
        <v>20</v>
      </c>
      <c r="E310" s="46">
        <f t="shared" ca="1" si="13"/>
        <v>4</v>
      </c>
      <c r="F310" s="46" t="str">
        <f t="shared" si="14"/>
        <v>Matavfallskärl</v>
      </c>
      <c r="G310" s="46" t="s">
        <v>2468</v>
      </c>
    </row>
    <row r="311" spans="1:7">
      <c r="A311" s="43" t="s">
        <v>2462</v>
      </c>
      <c r="B311" s="50" t="str">
        <f>CONCATENATE(VLOOKUP(C311,'Butiksobjekt steg 2'!A:B,2,FALSE)," ",A311)</f>
        <v>Hemköp Malmö Värnhem Kuundvagnsgarage</v>
      </c>
      <c r="C311" s="43">
        <v>103</v>
      </c>
      <c r="D311" s="45">
        <f t="shared" ca="1" si="12"/>
        <v>45</v>
      </c>
      <c r="E311" s="46">
        <f t="shared" ca="1" si="13"/>
        <v>3</v>
      </c>
      <c r="F311" s="46" t="str">
        <f t="shared" si="14"/>
        <v>Kuundvagnsgarage</v>
      </c>
      <c r="G311" s="46" t="s">
        <v>2469</v>
      </c>
    </row>
    <row r="312" spans="1:7">
      <c r="A312" s="43" t="s">
        <v>2460</v>
      </c>
      <c r="B312" s="50" t="str">
        <f>CONCATENATE(VLOOKUP(C312,'Butiksobjekt steg 2'!A:B,2,FALSE)," ",A312)</f>
        <v>Hemköp Malung C Pantkärl</v>
      </c>
      <c r="C312" s="43">
        <v>104</v>
      </c>
      <c r="D312" s="45">
        <f t="shared" ca="1" si="12"/>
        <v>27</v>
      </c>
      <c r="E312" s="46">
        <f t="shared" ca="1" si="13"/>
        <v>3</v>
      </c>
      <c r="F312" s="46" t="str">
        <f t="shared" si="14"/>
        <v>Pantkärl</v>
      </c>
      <c r="G312" s="46" t="s">
        <v>2470</v>
      </c>
    </row>
    <row r="313" spans="1:7">
      <c r="A313" s="43" t="s">
        <v>2461</v>
      </c>
      <c r="B313" s="50" t="str">
        <f>CONCATENATE(VLOOKUP(C313,'Butiksobjekt steg 2'!A:B,2,FALSE)," ",A313)</f>
        <v>Hemköp Malung C Matavfallskärl</v>
      </c>
      <c r="C313" s="43">
        <v>104</v>
      </c>
      <c r="D313" s="45">
        <f t="shared" ca="1" si="12"/>
        <v>38</v>
      </c>
      <c r="E313" s="46">
        <f t="shared" ca="1" si="13"/>
        <v>2</v>
      </c>
      <c r="F313" s="46" t="str">
        <f t="shared" si="14"/>
        <v>Matavfallskärl</v>
      </c>
      <c r="G313" s="46" t="s">
        <v>2468</v>
      </c>
    </row>
    <row r="314" spans="1:7">
      <c r="A314" s="43" t="s">
        <v>2462</v>
      </c>
      <c r="B314" s="50" t="str">
        <f>CONCATENATE(VLOOKUP(C314,'Butiksobjekt steg 2'!A:B,2,FALSE)," ",A314)</f>
        <v>Hemköp Malung C Kuundvagnsgarage</v>
      </c>
      <c r="C314" s="43">
        <v>104</v>
      </c>
      <c r="D314" s="45">
        <f t="shared" ca="1" si="12"/>
        <v>39</v>
      </c>
      <c r="E314" s="46">
        <f t="shared" ca="1" si="13"/>
        <v>2</v>
      </c>
      <c r="F314" s="46" t="str">
        <f t="shared" si="14"/>
        <v>Kuundvagnsgarage</v>
      </c>
      <c r="G314" s="46" t="s">
        <v>2469</v>
      </c>
    </row>
    <row r="315" spans="1:7">
      <c r="A315" s="43" t="s">
        <v>2460</v>
      </c>
      <c r="B315" s="50" t="str">
        <f>CONCATENATE(VLOOKUP(C315,'Butiksobjekt steg 2'!A:B,2,FALSE)," ",A315)</f>
        <v>Hemköp Mellerud Kvarnkullen Pantkärl</v>
      </c>
      <c r="C315" s="43">
        <v>105</v>
      </c>
      <c r="D315" s="45">
        <f t="shared" ca="1" si="12"/>
        <v>40</v>
      </c>
      <c r="E315" s="46">
        <f t="shared" ca="1" si="13"/>
        <v>1</v>
      </c>
      <c r="F315" s="46" t="str">
        <f t="shared" si="14"/>
        <v>Pantkärl</v>
      </c>
      <c r="G315" s="46" t="s">
        <v>2470</v>
      </c>
    </row>
    <row r="316" spans="1:7">
      <c r="A316" s="43" t="s">
        <v>2461</v>
      </c>
      <c r="B316" s="50" t="str">
        <f>CONCATENATE(VLOOKUP(C316,'Butiksobjekt steg 2'!A:B,2,FALSE)," ",A316)</f>
        <v>Hemköp Mellerud Kvarnkullen Matavfallskärl</v>
      </c>
      <c r="C316" s="43">
        <v>105</v>
      </c>
      <c r="D316" s="45">
        <f t="shared" ca="1" si="12"/>
        <v>23</v>
      </c>
      <c r="E316" s="46">
        <f t="shared" ca="1" si="13"/>
        <v>1</v>
      </c>
      <c r="F316" s="46" t="str">
        <f t="shared" si="14"/>
        <v>Matavfallskärl</v>
      </c>
      <c r="G316" s="46" t="s">
        <v>2468</v>
      </c>
    </row>
    <row r="317" spans="1:7">
      <c r="A317" s="43" t="s">
        <v>2462</v>
      </c>
      <c r="B317" s="50" t="str">
        <f>CONCATENATE(VLOOKUP(C317,'Butiksobjekt steg 2'!A:B,2,FALSE)," ",A317)</f>
        <v>Hemköp Mellerud Kvarnkullen Kuundvagnsgarage</v>
      </c>
      <c r="C317" s="43">
        <v>105</v>
      </c>
      <c r="D317" s="45">
        <f t="shared" ca="1" si="12"/>
        <v>34</v>
      </c>
      <c r="E317" s="46">
        <f t="shared" ca="1" si="13"/>
        <v>5</v>
      </c>
      <c r="F317" s="46" t="str">
        <f t="shared" si="14"/>
        <v>Kuundvagnsgarage</v>
      </c>
      <c r="G317" s="46" t="s">
        <v>2469</v>
      </c>
    </row>
    <row r="318" spans="1:7">
      <c r="A318" s="43" t="s">
        <v>2460</v>
      </c>
      <c r="B318" s="50" t="str">
        <f>CONCATENATE(VLOOKUP(C318,'Butiksobjekt steg 2'!A:B,2,FALSE)," ",A318)</f>
        <v>Hemköp Mellerud Torget Pantkärl</v>
      </c>
      <c r="C318" s="43">
        <v>106</v>
      </c>
      <c r="D318" s="45">
        <f t="shared" ca="1" si="12"/>
        <v>17</v>
      </c>
      <c r="E318" s="46">
        <f t="shared" ca="1" si="13"/>
        <v>2</v>
      </c>
      <c r="F318" s="46" t="str">
        <f t="shared" si="14"/>
        <v>Pantkärl</v>
      </c>
      <c r="G318" s="46" t="s">
        <v>2470</v>
      </c>
    </row>
    <row r="319" spans="1:7">
      <c r="A319" s="43" t="s">
        <v>2461</v>
      </c>
      <c r="B319" s="50" t="str">
        <f>CONCATENATE(VLOOKUP(C319,'Butiksobjekt steg 2'!A:B,2,FALSE)," ",A319)</f>
        <v>Hemköp Mellerud Torget Matavfallskärl</v>
      </c>
      <c r="C319" s="43">
        <v>106</v>
      </c>
      <c r="D319" s="45">
        <f t="shared" ca="1" si="12"/>
        <v>20</v>
      </c>
      <c r="E319" s="46">
        <f t="shared" ca="1" si="13"/>
        <v>1</v>
      </c>
      <c r="F319" s="46" t="str">
        <f t="shared" si="14"/>
        <v>Matavfallskärl</v>
      </c>
      <c r="G319" s="46" t="s">
        <v>2468</v>
      </c>
    </row>
    <row r="320" spans="1:7">
      <c r="A320" s="43" t="s">
        <v>2462</v>
      </c>
      <c r="B320" s="50" t="str">
        <f>CONCATENATE(VLOOKUP(C320,'Butiksobjekt steg 2'!A:B,2,FALSE)," ",A320)</f>
        <v>Hemköp Mellerud Torget Kuundvagnsgarage</v>
      </c>
      <c r="C320" s="43">
        <v>106</v>
      </c>
      <c r="D320" s="45">
        <f t="shared" ca="1" si="12"/>
        <v>42</v>
      </c>
      <c r="E320" s="46">
        <f t="shared" ca="1" si="13"/>
        <v>4</v>
      </c>
      <c r="F320" s="46" t="str">
        <f t="shared" si="14"/>
        <v>Kuundvagnsgarage</v>
      </c>
      <c r="G320" s="46" t="s">
        <v>2469</v>
      </c>
    </row>
    <row r="321" spans="1:7">
      <c r="A321" s="43" t="s">
        <v>2460</v>
      </c>
      <c r="B321" s="50" t="str">
        <f>CONCATENATE(VLOOKUP(C321,'Butiksobjekt steg 2'!A:B,2,FALSE)," ",A321)</f>
        <v>Hemköp Mjölby Lundby Pantkärl</v>
      </c>
      <c r="C321" s="43">
        <v>107</v>
      </c>
      <c r="D321" s="45">
        <f t="shared" ca="1" si="12"/>
        <v>9</v>
      </c>
      <c r="E321" s="46">
        <f t="shared" ca="1" si="13"/>
        <v>4</v>
      </c>
      <c r="F321" s="46" t="str">
        <f t="shared" si="14"/>
        <v>Pantkärl</v>
      </c>
      <c r="G321" s="46" t="s">
        <v>2470</v>
      </c>
    </row>
    <row r="322" spans="1:7">
      <c r="A322" s="43" t="s">
        <v>2461</v>
      </c>
      <c r="B322" s="50" t="str">
        <f>CONCATENATE(VLOOKUP(C322,'Butiksobjekt steg 2'!A:B,2,FALSE)," ",A322)</f>
        <v>Hemköp Mjölby Lundby Matavfallskärl</v>
      </c>
      <c r="C322" s="43">
        <v>107</v>
      </c>
      <c r="D322" s="45">
        <f t="shared" ca="1" si="12"/>
        <v>39</v>
      </c>
      <c r="E322" s="46">
        <f t="shared" ca="1" si="13"/>
        <v>3</v>
      </c>
      <c r="F322" s="46" t="str">
        <f t="shared" si="14"/>
        <v>Matavfallskärl</v>
      </c>
      <c r="G322" s="46" t="s">
        <v>2468</v>
      </c>
    </row>
    <row r="323" spans="1:7">
      <c r="A323" s="43" t="s">
        <v>2462</v>
      </c>
      <c r="B323" s="50" t="str">
        <f>CONCATENATE(VLOOKUP(C323,'Butiksobjekt steg 2'!A:B,2,FALSE)," ",A323)</f>
        <v>Hemköp Mjölby Lundby Kuundvagnsgarage</v>
      </c>
      <c r="C323" s="43">
        <v>107</v>
      </c>
      <c r="D323" s="45">
        <f t="shared" ca="1" si="12"/>
        <v>15</v>
      </c>
      <c r="E323" s="46">
        <f t="shared" ca="1" si="13"/>
        <v>5</v>
      </c>
      <c r="F323" s="46" t="str">
        <f t="shared" si="14"/>
        <v>Kuundvagnsgarage</v>
      </c>
      <c r="G323" s="46" t="s">
        <v>2469</v>
      </c>
    </row>
    <row r="324" spans="1:7">
      <c r="A324" s="43" t="s">
        <v>2460</v>
      </c>
      <c r="B324" s="50" t="str">
        <f>CONCATENATE(VLOOKUP(C324,'Butiksobjekt steg 2'!A:B,2,FALSE)," ",A324)</f>
        <v>Hemköp Motala Luxor Center Pantkärl</v>
      </c>
      <c r="C324" s="43">
        <v>108</v>
      </c>
      <c r="D324" s="45">
        <f t="shared" ref="D324:D387" ca="1" si="15">RANDBETWEEN(8,53)</f>
        <v>49</v>
      </c>
      <c r="E324" s="46">
        <f t="shared" ref="E324:E387" ca="1" si="16">RANDBETWEEN(1,5)</f>
        <v>5</v>
      </c>
      <c r="F324" s="46" t="str">
        <f t="shared" si="14"/>
        <v>Pantkärl</v>
      </c>
      <c r="G324" s="46" t="s">
        <v>2470</v>
      </c>
    </row>
    <row r="325" spans="1:7">
      <c r="A325" s="43" t="s">
        <v>2461</v>
      </c>
      <c r="B325" s="50" t="str">
        <f>CONCATENATE(VLOOKUP(C325,'Butiksobjekt steg 2'!A:B,2,FALSE)," ",A325)</f>
        <v>Hemköp Motala Luxor Center Matavfallskärl</v>
      </c>
      <c r="C325" s="43">
        <v>108</v>
      </c>
      <c r="D325" s="45">
        <f t="shared" ca="1" si="15"/>
        <v>50</v>
      </c>
      <c r="E325" s="46">
        <f t="shared" ca="1" si="16"/>
        <v>5</v>
      </c>
      <c r="F325" s="46" t="str">
        <f t="shared" ref="F325:F388" si="17">A325</f>
        <v>Matavfallskärl</v>
      </c>
      <c r="G325" s="46" t="s">
        <v>2468</v>
      </c>
    </row>
    <row r="326" spans="1:7">
      <c r="A326" s="43" t="s">
        <v>2462</v>
      </c>
      <c r="B326" s="50" t="str">
        <f>CONCATENATE(VLOOKUP(C326,'Butiksobjekt steg 2'!A:B,2,FALSE)," ",A326)</f>
        <v>Hemköp Motala Luxor Center Kuundvagnsgarage</v>
      </c>
      <c r="C326" s="43">
        <v>108</v>
      </c>
      <c r="D326" s="45">
        <f t="shared" ca="1" si="15"/>
        <v>25</v>
      </c>
      <c r="E326" s="46">
        <f t="shared" ca="1" si="16"/>
        <v>3</v>
      </c>
      <c r="F326" s="46" t="str">
        <f t="shared" si="17"/>
        <v>Kuundvagnsgarage</v>
      </c>
      <c r="G326" s="46" t="s">
        <v>2469</v>
      </c>
    </row>
    <row r="327" spans="1:7">
      <c r="A327" s="43" t="s">
        <v>2460</v>
      </c>
      <c r="B327" s="50" t="str">
        <f>CONCATENATE(VLOOKUP(C327,'Butiksobjekt steg 2'!A:B,2,FALSE)," ",A327)</f>
        <v>Hemköp Munkedal Munkeland Pantkärl</v>
      </c>
      <c r="C327" s="43">
        <v>109</v>
      </c>
      <c r="D327" s="45">
        <f t="shared" ca="1" si="15"/>
        <v>36</v>
      </c>
      <c r="E327" s="46">
        <f t="shared" ca="1" si="16"/>
        <v>1</v>
      </c>
      <c r="F327" s="46" t="str">
        <f t="shared" si="17"/>
        <v>Pantkärl</v>
      </c>
      <c r="G327" s="46" t="s">
        <v>2470</v>
      </c>
    </row>
    <row r="328" spans="1:7">
      <c r="A328" s="43" t="s">
        <v>2461</v>
      </c>
      <c r="B328" s="50" t="str">
        <f>CONCATENATE(VLOOKUP(C328,'Butiksobjekt steg 2'!A:B,2,FALSE)," ",A328)</f>
        <v>Hemköp Munkedal Munkeland Matavfallskärl</v>
      </c>
      <c r="C328" s="43">
        <v>109</v>
      </c>
      <c r="D328" s="45">
        <f t="shared" ca="1" si="15"/>
        <v>40</v>
      </c>
      <c r="E328" s="46">
        <f t="shared" ca="1" si="16"/>
        <v>2</v>
      </c>
      <c r="F328" s="46" t="str">
        <f t="shared" si="17"/>
        <v>Matavfallskärl</v>
      </c>
      <c r="G328" s="46" t="s">
        <v>2468</v>
      </c>
    </row>
    <row r="329" spans="1:7">
      <c r="A329" s="43" t="s">
        <v>2462</v>
      </c>
      <c r="B329" s="50" t="str">
        <f>CONCATENATE(VLOOKUP(C329,'Butiksobjekt steg 2'!A:B,2,FALSE)," ",A329)</f>
        <v>Hemköp Munkedal Munkeland Kuundvagnsgarage</v>
      </c>
      <c r="C329" s="43">
        <v>109</v>
      </c>
      <c r="D329" s="45">
        <f t="shared" ca="1" si="15"/>
        <v>20</v>
      </c>
      <c r="E329" s="46">
        <f t="shared" ca="1" si="16"/>
        <v>5</v>
      </c>
      <c r="F329" s="46" t="str">
        <f t="shared" si="17"/>
        <v>Kuundvagnsgarage</v>
      </c>
      <c r="G329" s="46" t="s">
        <v>2469</v>
      </c>
    </row>
    <row r="330" spans="1:7">
      <c r="A330" s="43" t="s">
        <v>2460</v>
      </c>
      <c r="B330" s="50" t="str">
        <f>CONCATENATE(VLOOKUP(C330,'Butiksobjekt steg 2'!A:B,2,FALSE)," ",A330)</f>
        <v>Hemköp Mölndal Bifrost Pantkärl</v>
      </c>
      <c r="C330" s="43">
        <v>110</v>
      </c>
      <c r="D330" s="45">
        <f t="shared" ca="1" si="15"/>
        <v>21</v>
      </c>
      <c r="E330" s="46">
        <f t="shared" ca="1" si="16"/>
        <v>4</v>
      </c>
      <c r="F330" s="46" t="str">
        <f t="shared" si="17"/>
        <v>Pantkärl</v>
      </c>
      <c r="G330" s="46" t="s">
        <v>2470</v>
      </c>
    </row>
    <row r="331" spans="1:7">
      <c r="A331" s="43" t="s">
        <v>2461</v>
      </c>
      <c r="B331" s="50" t="str">
        <f>CONCATENATE(VLOOKUP(C331,'Butiksobjekt steg 2'!A:B,2,FALSE)," ",A331)</f>
        <v>Hemköp Mölndal Bifrost Matavfallskärl</v>
      </c>
      <c r="C331" s="43">
        <v>110</v>
      </c>
      <c r="D331" s="45">
        <f t="shared" ca="1" si="15"/>
        <v>51</v>
      </c>
      <c r="E331" s="46">
        <f t="shared" ca="1" si="16"/>
        <v>4</v>
      </c>
      <c r="F331" s="46" t="str">
        <f t="shared" si="17"/>
        <v>Matavfallskärl</v>
      </c>
      <c r="G331" s="46" t="s">
        <v>2468</v>
      </c>
    </row>
    <row r="332" spans="1:7">
      <c r="A332" s="43" t="s">
        <v>2462</v>
      </c>
      <c r="B332" s="50" t="str">
        <f>CONCATENATE(VLOOKUP(C332,'Butiksobjekt steg 2'!A:B,2,FALSE)," ",A332)</f>
        <v>Hemköp Mölndal Bifrost Kuundvagnsgarage</v>
      </c>
      <c r="C332" s="43">
        <v>110</v>
      </c>
      <c r="D332" s="45">
        <f t="shared" ca="1" si="15"/>
        <v>53</v>
      </c>
      <c r="E332" s="46">
        <f t="shared" ca="1" si="16"/>
        <v>2</v>
      </c>
      <c r="F332" s="46" t="str">
        <f t="shared" si="17"/>
        <v>Kuundvagnsgarage</v>
      </c>
      <c r="G332" s="46" t="s">
        <v>2469</v>
      </c>
    </row>
    <row r="333" spans="1:7">
      <c r="A333" s="43" t="s">
        <v>2460</v>
      </c>
      <c r="B333" s="50" t="str">
        <f>CONCATENATE(VLOOKUP(C333,'Butiksobjekt steg 2'!A:B,2,FALSE)," ",A333)</f>
        <v>Hemköp Mölndal C Pantkärl</v>
      </c>
      <c r="C333" s="43">
        <v>111</v>
      </c>
      <c r="D333" s="45">
        <f t="shared" ca="1" si="15"/>
        <v>22</v>
      </c>
      <c r="E333" s="46">
        <f t="shared" ca="1" si="16"/>
        <v>5</v>
      </c>
      <c r="F333" s="46" t="str">
        <f t="shared" si="17"/>
        <v>Pantkärl</v>
      </c>
      <c r="G333" s="46" t="s">
        <v>2470</v>
      </c>
    </row>
    <row r="334" spans="1:7">
      <c r="A334" s="43" t="s">
        <v>2461</v>
      </c>
      <c r="B334" s="50" t="str">
        <f>CONCATENATE(VLOOKUP(C334,'Butiksobjekt steg 2'!A:B,2,FALSE)," ",A334)</f>
        <v>Hemköp Mölndal C Matavfallskärl</v>
      </c>
      <c r="C334" s="43">
        <v>111</v>
      </c>
      <c r="D334" s="45">
        <f t="shared" ca="1" si="15"/>
        <v>40</v>
      </c>
      <c r="E334" s="46">
        <f t="shared" ca="1" si="16"/>
        <v>1</v>
      </c>
      <c r="F334" s="46" t="str">
        <f t="shared" si="17"/>
        <v>Matavfallskärl</v>
      </c>
      <c r="G334" s="46" t="s">
        <v>2468</v>
      </c>
    </row>
    <row r="335" spans="1:7">
      <c r="A335" s="43" t="s">
        <v>2462</v>
      </c>
      <c r="B335" s="50" t="str">
        <f>CONCATENATE(VLOOKUP(C335,'Butiksobjekt steg 2'!A:B,2,FALSE)," ",A335)</f>
        <v>Hemköp Mölndal C Kuundvagnsgarage</v>
      </c>
      <c r="C335" s="43">
        <v>111</v>
      </c>
      <c r="D335" s="45">
        <f t="shared" ca="1" si="15"/>
        <v>51</v>
      </c>
      <c r="E335" s="46">
        <f t="shared" ca="1" si="16"/>
        <v>1</v>
      </c>
      <c r="F335" s="46" t="str">
        <f t="shared" si="17"/>
        <v>Kuundvagnsgarage</v>
      </c>
      <c r="G335" s="46" t="s">
        <v>2469</v>
      </c>
    </row>
    <row r="336" spans="1:7">
      <c r="A336" s="43" t="s">
        <v>2460</v>
      </c>
      <c r="B336" s="50" t="str">
        <f>CONCATENATE(VLOOKUP(C336,'Butiksobjekt steg 2'!A:B,2,FALSE)," ",A336)</f>
        <v>Hemköp Mölnlycke C Pantkärl</v>
      </c>
      <c r="C336" s="43">
        <v>112</v>
      </c>
      <c r="D336" s="45">
        <f t="shared" ca="1" si="15"/>
        <v>36</v>
      </c>
      <c r="E336" s="46">
        <f t="shared" ca="1" si="16"/>
        <v>2</v>
      </c>
      <c r="F336" s="46" t="str">
        <f t="shared" si="17"/>
        <v>Pantkärl</v>
      </c>
      <c r="G336" s="46" t="s">
        <v>2470</v>
      </c>
    </row>
    <row r="337" spans="1:7">
      <c r="A337" s="43" t="s">
        <v>2461</v>
      </c>
      <c r="B337" s="50" t="str">
        <f>CONCATENATE(VLOOKUP(C337,'Butiksobjekt steg 2'!A:B,2,FALSE)," ",A337)</f>
        <v>Hemköp Mölnlycke C Matavfallskärl</v>
      </c>
      <c r="C337" s="43">
        <v>112</v>
      </c>
      <c r="D337" s="45">
        <f t="shared" ca="1" si="15"/>
        <v>9</v>
      </c>
      <c r="E337" s="46">
        <f t="shared" ca="1" si="16"/>
        <v>1</v>
      </c>
      <c r="F337" s="46" t="str">
        <f t="shared" si="17"/>
        <v>Matavfallskärl</v>
      </c>
      <c r="G337" s="46" t="s">
        <v>2468</v>
      </c>
    </row>
    <row r="338" spans="1:7">
      <c r="A338" s="43" t="s">
        <v>2462</v>
      </c>
      <c r="B338" s="50" t="str">
        <f>CONCATENATE(VLOOKUP(C338,'Butiksobjekt steg 2'!A:B,2,FALSE)," ",A338)</f>
        <v>Hemköp Mölnlycke C Kuundvagnsgarage</v>
      </c>
      <c r="C338" s="43">
        <v>112</v>
      </c>
      <c r="D338" s="45">
        <f t="shared" ca="1" si="15"/>
        <v>18</v>
      </c>
      <c r="E338" s="46">
        <f t="shared" ca="1" si="16"/>
        <v>2</v>
      </c>
      <c r="F338" s="46" t="str">
        <f t="shared" si="17"/>
        <v>Kuundvagnsgarage</v>
      </c>
      <c r="G338" s="46" t="s">
        <v>2469</v>
      </c>
    </row>
    <row r="339" spans="1:7">
      <c r="A339" s="43" t="s">
        <v>2460</v>
      </c>
      <c r="B339" s="50" t="str">
        <f>CONCATENATE(VLOOKUP(C339,'Butiksobjekt steg 2'!A:B,2,FALSE)," ",A339)</f>
        <v>Hemköp Nacka Forum Pantkärl</v>
      </c>
      <c r="C339" s="43">
        <v>113</v>
      </c>
      <c r="D339" s="45">
        <f t="shared" ca="1" si="15"/>
        <v>13</v>
      </c>
      <c r="E339" s="46">
        <f t="shared" ca="1" si="16"/>
        <v>4</v>
      </c>
      <c r="F339" s="46" t="str">
        <f t="shared" si="17"/>
        <v>Pantkärl</v>
      </c>
      <c r="G339" s="46" t="s">
        <v>2470</v>
      </c>
    </row>
    <row r="340" spans="1:7">
      <c r="A340" s="43" t="s">
        <v>2461</v>
      </c>
      <c r="B340" s="50" t="str">
        <f>CONCATENATE(VLOOKUP(C340,'Butiksobjekt steg 2'!A:B,2,FALSE)," ",A340)</f>
        <v>Hemköp Nacka Forum Matavfallskärl</v>
      </c>
      <c r="C340" s="43">
        <v>113</v>
      </c>
      <c r="D340" s="45">
        <f t="shared" ca="1" si="15"/>
        <v>40</v>
      </c>
      <c r="E340" s="46">
        <f t="shared" ca="1" si="16"/>
        <v>2</v>
      </c>
      <c r="F340" s="46" t="str">
        <f t="shared" si="17"/>
        <v>Matavfallskärl</v>
      </c>
      <c r="G340" s="46" t="s">
        <v>2468</v>
      </c>
    </row>
    <row r="341" spans="1:7">
      <c r="A341" s="43" t="s">
        <v>2462</v>
      </c>
      <c r="B341" s="50" t="str">
        <f>CONCATENATE(VLOOKUP(C341,'Butiksobjekt steg 2'!A:B,2,FALSE)," ",A341)</f>
        <v>Hemköp Nacka Forum Kuundvagnsgarage</v>
      </c>
      <c r="C341" s="43">
        <v>113</v>
      </c>
      <c r="D341" s="45">
        <f t="shared" ca="1" si="15"/>
        <v>38</v>
      </c>
      <c r="E341" s="46">
        <f t="shared" ca="1" si="16"/>
        <v>3</v>
      </c>
      <c r="F341" s="46" t="str">
        <f t="shared" si="17"/>
        <v>Kuundvagnsgarage</v>
      </c>
      <c r="G341" s="46" t="s">
        <v>2469</v>
      </c>
    </row>
    <row r="342" spans="1:7">
      <c r="A342" s="43" t="s">
        <v>2460</v>
      </c>
      <c r="B342" s="50" t="str">
        <f>CONCATENATE(VLOOKUP(C342,'Butiksobjekt steg 2'!A:B,2,FALSE)," ",A342)</f>
        <v>Hemköp Nacka Sickla Pantkärl</v>
      </c>
      <c r="C342" s="43">
        <v>114</v>
      </c>
      <c r="D342" s="45">
        <f t="shared" ca="1" si="15"/>
        <v>12</v>
      </c>
      <c r="E342" s="46">
        <f t="shared" ca="1" si="16"/>
        <v>3</v>
      </c>
      <c r="F342" s="46" t="str">
        <f t="shared" si="17"/>
        <v>Pantkärl</v>
      </c>
      <c r="G342" s="46" t="s">
        <v>2470</v>
      </c>
    </row>
    <row r="343" spans="1:7">
      <c r="A343" s="43" t="s">
        <v>2461</v>
      </c>
      <c r="B343" s="50" t="str">
        <f>CONCATENATE(VLOOKUP(C343,'Butiksobjekt steg 2'!A:B,2,FALSE)," ",A343)</f>
        <v>Hemköp Nacka Sickla Matavfallskärl</v>
      </c>
      <c r="C343" s="43">
        <v>114</v>
      </c>
      <c r="D343" s="45">
        <f t="shared" ca="1" si="15"/>
        <v>35</v>
      </c>
      <c r="E343" s="46">
        <f t="shared" ca="1" si="16"/>
        <v>4</v>
      </c>
      <c r="F343" s="46" t="str">
        <f t="shared" si="17"/>
        <v>Matavfallskärl</v>
      </c>
      <c r="G343" s="46" t="s">
        <v>2468</v>
      </c>
    </row>
    <row r="344" spans="1:7">
      <c r="A344" s="43" t="s">
        <v>2462</v>
      </c>
      <c r="B344" s="50" t="str">
        <f>CONCATENATE(VLOOKUP(C344,'Butiksobjekt steg 2'!A:B,2,FALSE)," ",A344)</f>
        <v>Hemköp Nacka Sickla Kuundvagnsgarage</v>
      </c>
      <c r="C344" s="43">
        <v>114</v>
      </c>
      <c r="D344" s="45">
        <f t="shared" ca="1" si="15"/>
        <v>17</v>
      </c>
      <c r="E344" s="46">
        <f t="shared" ca="1" si="16"/>
        <v>1</v>
      </c>
      <c r="F344" s="46" t="str">
        <f t="shared" si="17"/>
        <v>Kuundvagnsgarage</v>
      </c>
      <c r="G344" s="46" t="s">
        <v>2469</v>
      </c>
    </row>
    <row r="345" spans="1:7">
      <c r="A345" s="43" t="s">
        <v>2460</v>
      </c>
      <c r="B345" s="50" t="str">
        <f>CONCATENATE(VLOOKUP(C345,'Butiksobjekt steg 2'!A:B,2,FALSE)," ",A345)</f>
        <v>Hemköp Norrköping Kungsgatan Pantkärl</v>
      </c>
      <c r="C345" s="43">
        <v>115</v>
      </c>
      <c r="D345" s="45">
        <f t="shared" ca="1" si="15"/>
        <v>21</v>
      </c>
      <c r="E345" s="46">
        <f t="shared" ca="1" si="16"/>
        <v>1</v>
      </c>
      <c r="F345" s="46" t="str">
        <f t="shared" si="17"/>
        <v>Pantkärl</v>
      </c>
      <c r="G345" s="46" t="s">
        <v>2470</v>
      </c>
    </row>
    <row r="346" spans="1:7">
      <c r="A346" s="43" t="s">
        <v>2461</v>
      </c>
      <c r="B346" s="50" t="str">
        <f>CONCATENATE(VLOOKUP(C346,'Butiksobjekt steg 2'!A:B,2,FALSE)," ",A346)</f>
        <v>Hemköp Norrköping Kungsgatan Matavfallskärl</v>
      </c>
      <c r="C346" s="43">
        <v>115</v>
      </c>
      <c r="D346" s="45">
        <f t="shared" ca="1" si="15"/>
        <v>15</v>
      </c>
      <c r="E346" s="46">
        <f t="shared" ca="1" si="16"/>
        <v>4</v>
      </c>
      <c r="F346" s="46" t="str">
        <f t="shared" si="17"/>
        <v>Matavfallskärl</v>
      </c>
      <c r="G346" s="46" t="s">
        <v>2468</v>
      </c>
    </row>
    <row r="347" spans="1:7">
      <c r="A347" s="43" t="s">
        <v>2462</v>
      </c>
      <c r="B347" s="50" t="str">
        <f>CONCATENATE(VLOOKUP(C347,'Butiksobjekt steg 2'!A:B,2,FALSE)," ",A347)</f>
        <v>Hemköp Norrköping Kungsgatan Kuundvagnsgarage</v>
      </c>
      <c r="C347" s="43">
        <v>115</v>
      </c>
      <c r="D347" s="45">
        <f t="shared" ca="1" si="15"/>
        <v>36</v>
      </c>
      <c r="E347" s="46">
        <f t="shared" ca="1" si="16"/>
        <v>4</v>
      </c>
      <c r="F347" s="46" t="str">
        <f t="shared" si="17"/>
        <v>Kuundvagnsgarage</v>
      </c>
      <c r="G347" s="46" t="s">
        <v>2469</v>
      </c>
    </row>
    <row r="348" spans="1:7">
      <c r="A348" s="43" t="s">
        <v>2460</v>
      </c>
      <c r="B348" s="50" t="str">
        <f>CONCATENATE(VLOOKUP(C348,'Butiksobjekt steg 2'!A:B,2,FALSE)," ",A348)</f>
        <v>Hemköp Norrköping Lasarettsgatan Pantkärl</v>
      </c>
      <c r="C348" s="43">
        <v>116</v>
      </c>
      <c r="D348" s="45">
        <f t="shared" ca="1" si="15"/>
        <v>33</v>
      </c>
      <c r="E348" s="46">
        <f t="shared" ca="1" si="16"/>
        <v>1</v>
      </c>
      <c r="F348" s="46" t="str">
        <f t="shared" si="17"/>
        <v>Pantkärl</v>
      </c>
      <c r="G348" s="46" t="s">
        <v>2470</v>
      </c>
    </row>
    <row r="349" spans="1:7">
      <c r="A349" s="43" t="s">
        <v>2461</v>
      </c>
      <c r="B349" s="50" t="str">
        <f>CONCATENATE(VLOOKUP(C349,'Butiksobjekt steg 2'!A:B,2,FALSE)," ",A349)</f>
        <v>Hemköp Norrköping Lasarettsgatan Matavfallskärl</v>
      </c>
      <c r="C349" s="43">
        <v>116</v>
      </c>
      <c r="D349" s="45">
        <f t="shared" ca="1" si="15"/>
        <v>20</v>
      </c>
      <c r="E349" s="46">
        <f t="shared" ca="1" si="16"/>
        <v>1</v>
      </c>
      <c r="F349" s="46" t="str">
        <f t="shared" si="17"/>
        <v>Matavfallskärl</v>
      </c>
      <c r="G349" s="46" t="s">
        <v>2468</v>
      </c>
    </row>
    <row r="350" spans="1:7">
      <c r="A350" s="43" t="s">
        <v>2462</v>
      </c>
      <c r="B350" s="50" t="str">
        <f>CONCATENATE(VLOOKUP(C350,'Butiksobjekt steg 2'!A:B,2,FALSE)," ",A350)</f>
        <v>Hemköp Norrköping Lasarettsgatan Kuundvagnsgarage</v>
      </c>
      <c r="C350" s="43">
        <v>116</v>
      </c>
      <c r="D350" s="45">
        <f t="shared" ca="1" si="15"/>
        <v>15</v>
      </c>
      <c r="E350" s="46">
        <f t="shared" ca="1" si="16"/>
        <v>2</v>
      </c>
      <c r="F350" s="46" t="str">
        <f t="shared" si="17"/>
        <v>Kuundvagnsgarage</v>
      </c>
      <c r="G350" s="46" t="s">
        <v>2469</v>
      </c>
    </row>
    <row r="351" spans="1:7">
      <c r="A351" s="43" t="s">
        <v>2460</v>
      </c>
      <c r="B351" s="50" t="str">
        <f>CONCATENATE(VLOOKUP(C351,'Butiksobjekt steg 2'!A:B,2,FALSE)," ",A351)</f>
        <v>Hemköp Norrköping Lindö Pantkärl</v>
      </c>
      <c r="C351" s="43">
        <v>117</v>
      </c>
      <c r="D351" s="45">
        <f t="shared" ca="1" si="15"/>
        <v>13</v>
      </c>
      <c r="E351" s="46">
        <f t="shared" ca="1" si="16"/>
        <v>3</v>
      </c>
      <c r="F351" s="46" t="str">
        <f t="shared" si="17"/>
        <v>Pantkärl</v>
      </c>
      <c r="G351" s="46" t="s">
        <v>2470</v>
      </c>
    </row>
    <row r="352" spans="1:7">
      <c r="A352" s="43" t="s">
        <v>2461</v>
      </c>
      <c r="B352" s="50" t="str">
        <f>CONCATENATE(VLOOKUP(C352,'Butiksobjekt steg 2'!A:B,2,FALSE)," ",A352)</f>
        <v>Hemköp Norrköping Lindö Matavfallskärl</v>
      </c>
      <c r="C352" s="43">
        <v>117</v>
      </c>
      <c r="D352" s="45">
        <f t="shared" ca="1" si="15"/>
        <v>18</v>
      </c>
      <c r="E352" s="46">
        <f t="shared" ca="1" si="16"/>
        <v>2</v>
      </c>
      <c r="F352" s="46" t="str">
        <f t="shared" si="17"/>
        <v>Matavfallskärl</v>
      </c>
      <c r="G352" s="46" t="s">
        <v>2468</v>
      </c>
    </row>
    <row r="353" spans="1:7">
      <c r="A353" s="43" t="s">
        <v>2462</v>
      </c>
      <c r="B353" s="50" t="str">
        <f>CONCATENATE(VLOOKUP(C353,'Butiksobjekt steg 2'!A:B,2,FALSE)," ",A353)</f>
        <v>Hemköp Norrköping Lindö Kuundvagnsgarage</v>
      </c>
      <c r="C353" s="43">
        <v>117</v>
      </c>
      <c r="D353" s="45">
        <f t="shared" ca="1" si="15"/>
        <v>34</v>
      </c>
      <c r="E353" s="46">
        <f t="shared" ca="1" si="16"/>
        <v>2</v>
      </c>
      <c r="F353" s="46" t="str">
        <f t="shared" si="17"/>
        <v>Kuundvagnsgarage</v>
      </c>
      <c r="G353" s="46" t="s">
        <v>2469</v>
      </c>
    </row>
    <row r="354" spans="1:7">
      <c r="A354" s="43" t="s">
        <v>2460</v>
      </c>
      <c r="B354" s="50" t="str">
        <f>CONCATENATE(VLOOKUP(C354,'Butiksobjekt steg 2'!A:B,2,FALSE)," ",A354)</f>
        <v>Hemköp Norrköping Ljura Pantkärl</v>
      </c>
      <c r="C354" s="43">
        <v>118</v>
      </c>
      <c r="D354" s="45">
        <f t="shared" ca="1" si="15"/>
        <v>10</v>
      </c>
      <c r="E354" s="46">
        <f t="shared" ca="1" si="16"/>
        <v>4</v>
      </c>
      <c r="F354" s="46" t="str">
        <f t="shared" si="17"/>
        <v>Pantkärl</v>
      </c>
      <c r="G354" s="46" t="s">
        <v>2470</v>
      </c>
    </row>
    <row r="355" spans="1:7">
      <c r="A355" s="43" t="s">
        <v>2461</v>
      </c>
      <c r="B355" s="50" t="str">
        <f>CONCATENATE(VLOOKUP(C355,'Butiksobjekt steg 2'!A:B,2,FALSE)," ",A355)</f>
        <v>Hemköp Norrköping Ljura Matavfallskärl</v>
      </c>
      <c r="C355" s="43">
        <v>118</v>
      </c>
      <c r="D355" s="45">
        <f t="shared" ca="1" si="15"/>
        <v>48</v>
      </c>
      <c r="E355" s="46">
        <f t="shared" ca="1" si="16"/>
        <v>1</v>
      </c>
      <c r="F355" s="46" t="str">
        <f t="shared" si="17"/>
        <v>Matavfallskärl</v>
      </c>
      <c r="G355" s="46" t="s">
        <v>2468</v>
      </c>
    </row>
    <row r="356" spans="1:7">
      <c r="A356" s="43" t="s">
        <v>2462</v>
      </c>
      <c r="B356" s="50" t="str">
        <f>CONCATENATE(VLOOKUP(C356,'Butiksobjekt steg 2'!A:B,2,FALSE)," ",A356)</f>
        <v>Hemköp Norrköping Ljura Kuundvagnsgarage</v>
      </c>
      <c r="C356" s="43">
        <v>118</v>
      </c>
      <c r="D356" s="45">
        <f t="shared" ca="1" si="15"/>
        <v>16</v>
      </c>
      <c r="E356" s="46">
        <f t="shared" ca="1" si="16"/>
        <v>2</v>
      </c>
      <c r="F356" s="46" t="str">
        <f t="shared" si="17"/>
        <v>Kuundvagnsgarage</v>
      </c>
      <c r="G356" s="46" t="s">
        <v>2469</v>
      </c>
    </row>
    <row r="357" spans="1:7">
      <c r="A357" s="43" t="s">
        <v>2460</v>
      </c>
      <c r="B357" s="50" t="str">
        <f>CONCATENATE(VLOOKUP(C357,'Butiksobjekt steg 2'!A:B,2,FALSE)," ",A357)</f>
        <v>Hemköp Nossebro C (tidigare 4762) KONKURS Pantkärl</v>
      </c>
      <c r="C357" s="43">
        <v>119</v>
      </c>
      <c r="D357" s="45">
        <f t="shared" ca="1" si="15"/>
        <v>17</v>
      </c>
      <c r="E357" s="46">
        <f t="shared" ca="1" si="16"/>
        <v>5</v>
      </c>
      <c r="F357" s="46" t="str">
        <f t="shared" si="17"/>
        <v>Pantkärl</v>
      </c>
      <c r="G357" s="46" t="s">
        <v>2470</v>
      </c>
    </row>
    <row r="358" spans="1:7">
      <c r="A358" s="43" t="s">
        <v>2461</v>
      </c>
      <c r="B358" s="50" t="str">
        <f>CONCATENATE(VLOOKUP(C358,'Butiksobjekt steg 2'!A:B,2,FALSE)," ",A358)</f>
        <v>Hemköp Nossebro C (tidigare 4762) KONKURS Matavfallskärl</v>
      </c>
      <c r="C358" s="43">
        <v>119</v>
      </c>
      <c r="D358" s="45">
        <f t="shared" ca="1" si="15"/>
        <v>45</v>
      </c>
      <c r="E358" s="46">
        <f t="shared" ca="1" si="16"/>
        <v>1</v>
      </c>
      <c r="F358" s="46" t="str">
        <f t="shared" si="17"/>
        <v>Matavfallskärl</v>
      </c>
      <c r="G358" s="46" t="s">
        <v>2468</v>
      </c>
    </row>
    <row r="359" spans="1:7">
      <c r="A359" s="43" t="s">
        <v>2462</v>
      </c>
      <c r="B359" s="50" t="str">
        <f>CONCATENATE(VLOOKUP(C359,'Butiksobjekt steg 2'!A:B,2,FALSE)," ",A359)</f>
        <v>Hemköp Nossebro C (tidigare 4762) KONKURS Kuundvagnsgarage</v>
      </c>
      <c r="C359" s="43">
        <v>119</v>
      </c>
      <c r="D359" s="45">
        <f t="shared" ca="1" si="15"/>
        <v>26</v>
      </c>
      <c r="E359" s="46">
        <f t="shared" ca="1" si="16"/>
        <v>2</v>
      </c>
      <c r="F359" s="46" t="str">
        <f t="shared" si="17"/>
        <v>Kuundvagnsgarage</v>
      </c>
      <c r="G359" s="46" t="s">
        <v>2469</v>
      </c>
    </row>
    <row r="360" spans="1:7">
      <c r="A360" s="43" t="s">
        <v>2460</v>
      </c>
      <c r="B360" s="50" t="str">
        <f>CONCATENATE(VLOOKUP(C360,'Butiksobjekt steg 2'!A:B,2,FALSE)," ",A360)</f>
        <v>Hemköp Nyköping C Pantkärl</v>
      </c>
      <c r="C360" s="43">
        <v>120</v>
      </c>
      <c r="D360" s="45">
        <f t="shared" ca="1" si="15"/>
        <v>52</v>
      </c>
      <c r="E360" s="46">
        <f t="shared" ca="1" si="16"/>
        <v>4</v>
      </c>
      <c r="F360" s="46" t="str">
        <f t="shared" si="17"/>
        <v>Pantkärl</v>
      </c>
      <c r="G360" s="46" t="s">
        <v>2470</v>
      </c>
    </row>
    <row r="361" spans="1:7">
      <c r="A361" s="43" t="s">
        <v>2461</v>
      </c>
      <c r="B361" s="50" t="str">
        <f>CONCATENATE(VLOOKUP(C361,'Butiksobjekt steg 2'!A:B,2,FALSE)," ",A361)</f>
        <v>Hemköp Nyköping C Matavfallskärl</v>
      </c>
      <c r="C361" s="43">
        <v>120</v>
      </c>
      <c r="D361" s="45">
        <f t="shared" ca="1" si="15"/>
        <v>30</v>
      </c>
      <c r="E361" s="46">
        <f t="shared" ca="1" si="16"/>
        <v>1</v>
      </c>
      <c r="F361" s="46" t="str">
        <f t="shared" si="17"/>
        <v>Matavfallskärl</v>
      </c>
      <c r="G361" s="46" t="s">
        <v>2468</v>
      </c>
    </row>
    <row r="362" spans="1:7">
      <c r="A362" s="43" t="s">
        <v>2462</v>
      </c>
      <c r="B362" s="50" t="str">
        <f>CONCATENATE(VLOOKUP(C362,'Butiksobjekt steg 2'!A:B,2,FALSE)," ",A362)</f>
        <v>Hemköp Nyköping C Kuundvagnsgarage</v>
      </c>
      <c r="C362" s="43">
        <v>120</v>
      </c>
      <c r="D362" s="45">
        <f t="shared" ca="1" si="15"/>
        <v>33</v>
      </c>
      <c r="E362" s="46">
        <f t="shared" ca="1" si="16"/>
        <v>5</v>
      </c>
      <c r="F362" s="46" t="str">
        <f t="shared" si="17"/>
        <v>Kuundvagnsgarage</v>
      </c>
      <c r="G362" s="46" t="s">
        <v>2469</v>
      </c>
    </row>
    <row r="363" spans="1:7">
      <c r="A363" s="43" t="s">
        <v>2460</v>
      </c>
      <c r="B363" s="50" t="str">
        <f>CONCATENATE(VLOOKUP(C363,'Butiksobjekt steg 2'!A:B,2,FALSE)," ",A363)</f>
        <v>Hemköp Nyköping Spelhagen Pantkärl</v>
      </c>
      <c r="C363" s="43">
        <v>121</v>
      </c>
      <c r="D363" s="45">
        <f t="shared" ca="1" si="15"/>
        <v>29</v>
      </c>
      <c r="E363" s="46">
        <f t="shared" ca="1" si="16"/>
        <v>2</v>
      </c>
      <c r="F363" s="46" t="str">
        <f t="shared" si="17"/>
        <v>Pantkärl</v>
      </c>
      <c r="G363" s="46" t="s">
        <v>2470</v>
      </c>
    </row>
    <row r="364" spans="1:7">
      <c r="A364" s="43" t="s">
        <v>2461</v>
      </c>
      <c r="B364" s="50" t="str">
        <f>CONCATENATE(VLOOKUP(C364,'Butiksobjekt steg 2'!A:B,2,FALSE)," ",A364)</f>
        <v>Hemköp Nyköping Spelhagen Matavfallskärl</v>
      </c>
      <c r="C364" s="43">
        <v>121</v>
      </c>
      <c r="D364" s="45">
        <f t="shared" ca="1" si="15"/>
        <v>15</v>
      </c>
      <c r="E364" s="46">
        <f t="shared" ca="1" si="16"/>
        <v>5</v>
      </c>
      <c r="F364" s="46" t="str">
        <f t="shared" si="17"/>
        <v>Matavfallskärl</v>
      </c>
      <c r="G364" s="46" t="s">
        <v>2468</v>
      </c>
    </row>
    <row r="365" spans="1:7">
      <c r="A365" s="43" t="s">
        <v>2462</v>
      </c>
      <c r="B365" s="50" t="str">
        <f>CONCATENATE(VLOOKUP(C365,'Butiksobjekt steg 2'!A:B,2,FALSE)," ",A365)</f>
        <v>Hemköp Nyköping Spelhagen Kuundvagnsgarage</v>
      </c>
      <c r="C365" s="43">
        <v>121</v>
      </c>
      <c r="D365" s="45">
        <f t="shared" ca="1" si="15"/>
        <v>25</v>
      </c>
      <c r="E365" s="46">
        <f t="shared" ca="1" si="16"/>
        <v>1</v>
      </c>
      <c r="F365" s="46" t="str">
        <f t="shared" si="17"/>
        <v>Kuundvagnsgarage</v>
      </c>
      <c r="G365" s="46" t="s">
        <v>2469</v>
      </c>
    </row>
    <row r="366" spans="1:7">
      <c r="A366" s="43" t="s">
        <v>2460</v>
      </c>
      <c r="B366" s="50" t="str">
        <f>CONCATENATE(VLOOKUP(C366,'Butiksobjekt steg 2'!A:B,2,FALSE)," ",A366)</f>
        <v>Hemköp Onsala C Pantkärl</v>
      </c>
      <c r="C366" s="43">
        <v>122</v>
      </c>
      <c r="D366" s="45">
        <f t="shared" ca="1" si="15"/>
        <v>39</v>
      </c>
      <c r="E366" s="46">
        <f t="shared" ca="1" si="16"/>
        <v>5</v>
      </c>
      <c r="F366" s="46" t="str">
        <f t="shared" si="17"/>
        <v>Pantkärl</v>
      </c>
      <c r="G366" s="46" t="s">
        <v>2470</v>
      </c>
    </row>
    <row r="367" spans="1:7">
      <c r="A367" s="43" t="s">
        <v>2461</v>
      </c>
      <c r="B367" s="50" t="str">
        <f>CONCATENATE(VLOOKUP(C367,'Butiksobjekt steg 2'!A:B,2,FALSE)," ",A367)</f>
        <v>Hemköp Onsala C Matavfallskärl</v>
      </c>
      <c r="C367" s="43">
        <v>122</v>
      </c>
      <c r="D367" s="45">
        <f t="shared" ca="1" si="15"/>
        <v>18</v>
      </c>
      <c r="E367" s="46">
        <f t="shared" ca="1" si="16"/>
        <v>4</v>
      </c>
      <c r="F367" s="46" t="str">
        <f t="shared" si="17"/>
        <v>Matavfallskärl</v>
      </c>
      <c r="G367" s="46" t="s">
        <v>2468</v>
      </c>
    </row>
    <row r="368" spans="1:7">
      <c r="A368" s="43" t="s">
        <v>2462</v>
      </c>
      <c r="B368" s="50" t="str">
        <f>CONCATENATE(VLOOKUP(C368,'Butiksobjekt steg 2'!A:B,2,FALSE)," ",A368)</f>
        <v>Hemköp Onsala C Kuundvagnsgarage</v>
      </c>
      <c r="C368" s="43">
        <v>122</v>
      </c>
      <c r="D368" s="45">
        <f t="shared" ca="1" si="15"/>
        <v>19</v>
      </c>
      <c r="E368" s="46">
        <f t="shared" ca="1" si="16"/>
        <v>1</v>
      </c>
      <c r="F368" s="46" t="str">
        <f t="shared" si="17"/>
        <v>Kuundvagnsgarage</v>
      </c>
      <c r="G368" s="46" t="s">
        <v>2469</v>
      </c>
    </row>
    <row r="369" spans="1:7">
      <c r="A369" s="43" t="s">
        <v>2460</v>
      </c>
      <c r="B369" s="50" t="str">
        <f>CONCATENATE(VLOOKUP(C369,'Butiksobjekt steg 2'!A:B,2,FALSE)," ",A369)</f>
        <v>Hemköp Oskarström Blåklintsvägen  Pantkärl</v>
      </c>
      <c r="C369" s="43">
        <v>123</v>
      </c>
      <c r="D369" s="45">
        <f t="shared" ca="1" si="15"/>
        <v>25</v>
      </c>
      <c r="E369" s="46">
        <f t="shared" ca="1" si="16"/>
        <v>5</v>
      </c>
      <c r="F369" s="46" t="str">
        <f t="shared" si="17"/>
        <v>Pantkärl</v>
      </c>
      <c r="G369" s="46" t="s">
        <v>2470</v>
      </c>
    </row>
    <row r="370" spans="1:7">
      <c r="A370" s="43" t="s">
        <v>2461</v>
      </c>
      <c r="B370" s="50" t="str">
        <f>CONCATENATE(VLOOKUP(C370,'Butiksobjekt steg 2'!A:B,2,FALSE)," ",A370)</f>
        <v>Hemköp Oskarström Blåklintsvägen  Matavfallskärl</v>
      </c>
      <c r="C370" s="43">
        <v>123</v>
      </c>
      <c r="D370" s="45">
        <f t="shared" ca="1" si="15"/>
        <v>44</v>
      </c>
      <c r="E370" s="46">
        <f t="shared" ca="1" si="16"/>
        <v>3</v>
      </c>
      <c r="F370" s="46" t="str">
        <f t="shared" si="17"/>
        <v>Matavfallskärl</v>
      </c>
      <c r="G370" s="46" t="s">
        <v>2468</v>
      </c>
    </row>
    <row r="371" spans="1:7">
      <c r="A371" s="43" t="s">
        <v>2462</v>
      </c>
      <c r="B371" s="50" t="str">
        <f>CONCATENATE(VLOOKUP(C371,'Butiksobjekt steg 2'!A:B,2,FALSE)," ",A371)</f>
        <v>Hemköp Oskarström Blåklintsvägen  Kuundvagnsgarage</v>
      </c>
      <c r="C371" s="43">
        <v>123</v>
      </c>
      <c r="D371" s="45">
        <f t="shared" ca="1" si="15"/>
        <v>46</v>
      </c>
      <c r="E371" s="46">
        <f t="shared" ca="1" si="16"/>
        <v>1</v>
      </c>
      <c r="F371" s="46" t="str">
        <f t="shared" si="17"/>
        <v>Kuundvagnsgarage</v>
      </c>
      <c r="G371" s="46" t="s">
        <v>2469</v>
      </c>
    </row>
    <row r="372" spans="1:7">
      <c r="A372" s="43" t="s">
        <v>2460</v>
      </c>
      <c r="B372" s="50" t="str">
        <f>CONCATENATE(VLOOKUP(C372,'Butiksobjekt steg 2'!A:B,2,FALSE)," ",A372)</f>
        <v>Hemköp Rättvik C Pantkärl</v>
      </c>
      <c r="C372" s="43">
        <v>124</v>
      </c>
      <c r="D372" s="45">
        <f t="shared" ca="1" si="15"/>
        <v>22</v>
      </c>
      <c r="E372" s="46">
        <f t="shared" ca="1" si="16"/>
        <v>2</v>
      </c>
      <c r="F372" s="46" t="str">
        <f t="shared" si="17"/>
        <v>Pantkärl</v>
      </c>
      <c r="G372" s="46" t="s">
        <v>2470</v>
      </c>
    </row>
    <row r="373" spans="1:7">
      <c r="A373" s="43" t="s">
        <v>2461</v>
      </c>
      <c r="B373" s="50" t="str">
        <f>CONCATENATE(VLOOKUP(C373,'Butiksobjekt steg 2'!A:B,2,FALSE)," ",A373)</f>
        <v>Hemköp Rättvik C Matavfallskärl</v>
      </c>
      <c r="C373" s="43">
        <v>124</v>
      </c>
      <c r="D373" s="45">
        <f t="shared" ca="1" si="15"/>
        <v>36</v>
      </c>
      <c r="E373" s="46">
        <f t="shared" ca="1" si="16"/>
        <v>4</v>
      </c>
      <c r="F373" s="46" t="str">
        <f t="shared" si="17"/>
        <v>Matavfallskärl</v>
      </c>
      <c r="G373" s="46" t="s">
        <v>2468</v>
      </c>
    </row>
    <row r="374" spans="1:7">
      <c r="A374" s="43" t="s">
        <v>2462</v>
      </c>
      <c r="B374" s="50" t="str">
        <f>CONCATENATE(VLOOKUP(C374,'Butiksobjekt steg 2'!A:B,2,FALSE)," ",A374)</f>
        <v>Hemköp Rättvik C Kuundvagnsgarage</v>
      </c>
      <c r="C374" s="43">
        <v>124</v>
      </c>
      <c r="D374" s="45">
        <f t="shared" ca="1" si="15"/>
        <v>44</v>
      </c>
      <c r="E374" s="46">
        <f t="shared" ca="1" si="16"/>
        <v>1</v>
      </c>
      <c r="F374" s="46" t="str">
        <f t="shared" si="17"/>
        <v>Kuundvagnsgarage</v>
      </c>
      <c r="G374" s="46" t="s">
        <v>2469</v>
      </c>
    </row>
    <row r="375" spans="1:7">
      <c r="A375" s="43" t="s">
        <v>2460</v>
      </c>
      <c r="B375" s="50" t="str">
        <f>CONCATENATE(VLOOKUP(C375,'Butiksobjekt steg 2'!A:B,2,FALSE)," ",A375)</f>
        <v>Hemköp Sabis Stockholm Fältöversten Pantkärl</v>
      </c>
      <c r="C375" s="43">
        <v>125</v>
      </c>
      <c r="D375" s="45">
        <f t="shared" ca="1" si="15"/>
        <v>33</v>
      </c>
      <c r="E375" s="46">
        <f t="shared" ca="1" si="16"/>
        <v>4</v>
      </c>
      <c r="F375" s="46" t="str">
        <f t="shared" si="17"/>
        <v>Pantkärl</v>
      </c>
      <c r="G375" s="46" t="s">
        <v>2470</v>
      </c>
    </row>
    <row r="376" spans="1:7">
      <c r="A376" s="43" t="s">
        <v>2461</v>
      </c>
      <c r="B376" s="50" t="str">
        <f>CONCATENATE(VLOOKUP(C376,'Butiksobjekt steg 2'!A:B,2,FALSE)," ",A376)</f>
        <v>Hemköp Sabis Stockholm Fältöversten Matavfallskärl</v>
      </c>
      <c r="C376" s="43">
        <v>125</v>
      </c>
      <c r="D376" s="45">
        <f t="shared" ca="1" si="15"/>
        <v>35</v>
      </c>
      <c r="E376" s="46">
        <f t="shared" ca="1" si="16"/>
        <v>4</v>
      </c>
      <c r="F376" s="46" t="str">
        <f t="shared" si="17"/>
        <v>Matavfallskärl</v>
      </c>
      <c r="G376" s="46" t="s">
        <v>2468</v>
      </c>
    </row>
    <row r="377" spans="1:7">
      <c r="A377" s="43" t="s">
        <v>2462</v>
      </c>
      <c r="B377" s="50" t="str">
        <f>CONCATENATE(VLOOKUP(C377,'Butiksobjekt steg 2'!A:B,2,FALSE)," ",A377)</f>
        <v>Hemköp Sabis Stockholm Fältöversten Kuundvagnsgarage</v>
      </c>
      <c r="C377" s="43">
        <v>125</v>
      </c>
      <c r="D377" s="45">
        <f t="shared" ca="1" si="15"/>
        <v>39</v>
      </c>
      <c r="E377" s="46">
        <f t="shared" ca="1" si="16"/>
        <v>5</v>
      </c>
      <c r="F377" s="46" t="str">
        <f t="shared" si="17"/>
        <v>Kuundvagnsgarage</v>
      </c>
      <c r="G377" s="46" t="s">
        <v>2469</v>
      </c>
    </row>
    <row r="378" spans="1:7">
      <c r="A378" s="43" t="s">
        <v>2460</v>
      </c>
      <c r="B378" s="50" t="str">
        <f>CONCATENATE(VLOOKUP(C378,'Butiksobjekt steg 2'!A:B,2,FALSE)," ",A378)</f>
        <v>Hemköp Saltsjö-Boo Lännersta Pantkärl</v>
      </c>
      <c r="C378" s="43">
        <v>126</v>
      </c>
      <c r="D378" s="45">
        <f t="shared" ca="1" si="15"/>
        <v>47</v>
      </c>
      <c r="E378" s="46">
        <f t="shared" ca="1" si="16"/>
        <v>1</v>
      </c>
      <c r="F378" s="46" t="str">
        <f t="shared" si="17"/>
        <v>Pantkärl</v>
      </c>
      <c r="G378" s="46" t="s">
        <v>2470</v>
      </c>
    </row>
    <row r="379" spans="1:7">
      <c r="A379" s="43" t="s">
        <v>2461</v>
      </c>
      <c r="B379" s="50" t="str">
        <f>CONCATENATE(VLOOKUP(C379,'Butiksobjekt steg 2'!A:B,2,FALSE)," ",A379)</f>
        <v>Hemköp Saltsjö-Boo Lännersta Matavfallskärl</v>
      </c>
      <c r="C379" s="43">
        <v>126</v>
      </c>
      <c r="D379" s="45">
        <f t="shared" ca="1" si="15"/>
        <v>45</v>
      </c>
      <c r="E379" s="46">
        <f t="shared" ca="1" si="16"/>
        <v>4</v>
      </c>
      <c r="F379" s="46" t="str">
        <f t="shared" si="17"/>
        <v>Matavfallskärl</v>
      </c>
      <c r="G379" s="46" t="s">
        <v>2468</v>
      </c>
    </row>
    <row r="380" spans="1:7">
      <c r="A380" s="43" t="s">
        <v>2462</v>
      </c>
      <c r="B380" s="50" t="str">
        <f>CONCATENATE(VLOOKUP(C380,'Butiksobjekt steg 2'!A:B,2,FALSE)," ",A380)</f>
        <v>Hemköp Saltsjö-Boo Lännersta Kuundvagnsgarage</v>
      </c>
      <c r="C380" s="43">
        <v>126</v>
      </c>
      <c r="D380" s="45">
        <f t="shared" ca="1" si="15"/>
        <v>9</v>
      </c>
      <c r="E380" s="46">
        <f t="shared" ca="1" si="16"/>
        <v>4</v>
      </c>
      <c r="F380" s="46" t="str">
        <f t="shared" si="17"/>
        <v>Kuundvagnsgarage</v>
      </c>
      <c r="G380" s="46" t="s">
        <v>2469</v>
      </c>
    </row>
    <row r="381" spans="1:7">
      <c r="A381" s="43" t="s">
        <v>2460</v>
      </c>
      <c r="B381" s="50" t="str">
        <f>CONCATENATE(VLOOKUP(C381,'Butiksobjekt steg 2'!A:B,2,FALSE)," ",A381)</f>
        <v>Hemköp Sjöbo Blentarp Pantkärl</v>
      </c>
      <c r="C381" s="43">
        <v>127</v>
      </c>
      <c r="D381" s="45">
        <f t="shared" ca="1" si="15"/>
        <v>17</v>
      </c>
      <c r="E381" s="46">
        <f t="shared" ca="1" si="16"/>
        <v>1</v>
      </c>
      <c r="F381" s="46" t="str">
        <f t="shared" si="17"/>
        <v>Pantkärl</v>
      </c>
      <c r="G381" s="46" t="s">
        <v>2470</v>
      </c>
    </row>
    <row r="382" spans="1:7">
      <c r="A382" s="43" t="s">
        <v>2461</v>
      </c>
      <c r="B382" s="50" t="str">
        <f>CONCATENATE(VLOOKUP(C382,'Butiksobjekt steg 2'!A:B,2,FALSE)," ",A382)</f>
        <v>Hemköp Sjöbo Blentarp Matavfallskärl</v>
      </c>
      <c r="C382" s="43">
        <v>127</v>
      </c>
      <c r="D382" s="45">
        <f t="shared" ca="1" si="15"/>
        <v>50</v>
      </c>
      <c r="E382" s="46">
        <f t="shared" ca="1" si="16"/>
        <v>4</v>
      </c>
      <c r="F382" s="46" t="str">
        <f t="shared" si="17"/>
        <v>Matavfallskärl</v>
      </c>
      <c r="G382" s="46" t="s">
        <v>2468</v>
      </c>
    </row>
    <row r="383" spans="1:7">
      <c r="A383" s="43" t="s">
        <v>2462</v>
      </c>
      <c r="B383" s="50" t="str">
        <f>CONCATENATE(VLOOKUP(C383,'Butiksobjekt steg 2'!A:B,2,FALSE)," ",A383)</f>
        <v>Hemköp Sjöbo Blentarp Kuundvagnsgarage</v>
      </c>
      <c r="C383" s="43">
        <v>127</v>
      </c>
      <c r="D383" s="45">
        <f t="shared" ca="1" si="15"/>
        <v>33</v>
      </c>
      <c r="E383" s="46">
        <f t="shared" ca="1" si="16"/>
        <v>1</v>
      </c>
      <c r="F383" s="46" t="str">
        <f t="shared" si="17"/>
        <v>Kuundvagnsgarage</v>
      </c>
      <c r="G383" s="46" t="s">
        <v>2469</v>
      </c>
    </row>
    <row r="384" spans="1:7">
      <c r="A384" s="43" t="s">
        <v>2460</v>
      </c>
      <c r="B384" s="50" t="str">
        <f>CONCATENATE(VLOOKUP(C384,'Butiksobjekt steg 2'!A:B,2,FALSE)," ",A384)</f>
        <v>Hemköp Skillingaryd Artillerigatan  Pantkärl</v>
      </c>
      <c r="C384" s="43">
        <v>128</v>
      </c>
      <c r="D384" s="45">
        <f t="shared" ca="1" si="15"/>
        <v>22</v>
      </c>
      <c r="E384" s="46">
        <f t="shared" ca="1" si="16"/>
        <v>3</v>
      </c>
      <c r="F384" s="46" t="str">
        <f t="shared" si="17"/>
        <v>Pantkärl</v>
      </c>
      <c r="G384" s="46" t="s">
        <v>2470</v>
      </c>
    </row>
    <row r="385" spans="1:7">
      <c r="A385" s="43" t="s">
        <v>2461</v>
      </c>
      <c r="B385" s="50" t="str">
        <f>CONCATENATE(VLOOKUP(C385,'Butiksobjekt steg 2'!A:B,2,FALSE)," ",A385)</f>
        <v>Hemköp Skillingaryd Artillerigatan  Matavfallskärl</v>
      </c>
      <c r="C385" s="43">
        <v>128</v>
      </c>
      <c r="D385" s="45">
        <f t="shared" ca="1" si="15"/>
        <v>10</v>
      </c>
      <c r="E385" s="46">
        <f t="shared" ca="1" si="16"/>
        <v>2</v>
      </c>
      <c r="F385" s="46" t="str">
        <f t="shared" si="17"/>
        <v>Matavfallskärl</v>
      </c>
      <c r="G385" s="46" t="s">
        <v>2468</v>
      </c>
    </row>
    <row r="386" spans="1:7">
      <c r="A386" s="43" t="s">
        <v>2462</v>
      </c>
      <c r="B386" s="50" t="str">
        <f>CONCATENATE(VLOOKUP(C386,'Butiksobjekt steg 2'!A:B,2,FALSE)," ",A386)</f>
        <v>Hemköp Skillingaryd Artillerigatan  Kuundvagnsgarage</v>
      </c>
      <c r="C386" s="43">
        <v>128</v>
      </c>
      <c r="D386" s="45">
        <f t="shared" ca="1" si="15"/>
        <v>39</v>
      </c>
      <c r="E386" s="46">
        <f t="shared" ca="1" si="16"/>
        <v>5</v>
      </c>
      <c r="F386" s="46" t="str">
        <f t="shared" si="17"/>
        <v>Kuundvagnsgarage</v>
      </c>
      <c r="G386" s="46" t="s">
        <v>2469</v>
      </c>
    </row>
    <row r="387" spans="1:7">
      <c r="A387" s="43" t="s">
        <v>2460</v>
      </c>
      <c r="B387" s="50" t="str">
        <f>CONCATENATE(VLOOKUP(C387,'Butiksobjekt steg 2'!A:B,2,FALSE)," ",A387)</f>
        <v>Hemköp Skövde C Pantkärl</v>
      </c>
      <c r="C387" s="43">
        <v>129</v>
      </c>
      <c r="D387" s="45">
        <f t="shared" ca="1" si="15"/>
        <v>41</v>
      </c>
      <c r="E387" s="46">
        <f t="shared" ca="1" si="16"/>
        <v>3</v>
      </c>
      <c r="F387" s="46" t="str">
        <f t="shared" si="17"/>
        <v>Pantkärl</v>
      </c>
      <c r="G387" s="46" t="s">
        <v>2470</v>
      </c>
    </row>
    <row r="388" spans="1:7">
      <c r="A388" s="43" t="s">
        <v>2461</v>
      </c>
      <c r="B388" s="50" t="str">
        <f>CONCATENATE(VLOOKUP(C388,'Butiksobjekt steg 2'!A:B,2,FALSE)," ",A388)</f>
        <v>Hemköp Skövde C Matavfallskärl</v>
      </c>
      <c r="C388" s="43">
        <v>129</v>
      </c>
      <c r="D388" s="45">
        <f t="shared" ref="D388:D451" ca="1" si="18">RANDBETWEEN(8,53)</f>
        <v>20</v>
      </c>
      <c r="E388" s="46">
        <f t="shared" ref="E388:E451" ca="1" si="19">RANDBETWEEN(1,5)</f>
        <v>3</v>
      </c>
      <c r="F388" s="46" t="str">
        <f t="shared" si="17"/>
        <v>Matavfallskärl</v>
      </c>
      <c r="G388" s="46" t="s">
        <v>2468</v>
      </c>
    </row>
    <row r="389" spans="1:7">
      <c r="A389" s="43" t="s">
        <v>2462</v>
      </c>
      <c r="B389" s="50" t="str">
        <f>CONCATENATE(VLOOKUP(C389,'Butiksobjekt steg 2'!A:B,2,FALSE)," ",A389)</f>
        <v>Hemköp Skövde C Kuundvagnsgarage</v>
      </c>
      <c r="C389" s="43">
        <v>129</v>
      </c>
      <c r="D389" s="45">
        <f t="shared" ca="1" si="18"/>
        <v>43</v>
      </c>
      <c r="E389" s="46">
        <f t="shared" ca="1" si="19"/>
        <v>2</v>
      </c>
      <c r="F389" s="46" t="str">
        <f t="shared" ref="F389:F452" si="20">A389</f>
        <v>Kuundvagnsgarage</v>
      </c>
      <c r="G389" s="46" t="s">
        <v>2469</v>
      </c>
    </row>
    <row r="390" spans="1:7">
      <c r="A390" s="43" t="s">
        <v>2460</v>
      </c>
      <c r="B390" s="50" t="str">
        <f>CONCATENATE(VLOOKUP(C390,'Butiksobjekt steg 2'!A:B,2,FALSE)," ",A390)</f>
        <v>Hemköp Skövde Hentorp Pantkärl</v>
      </c>
      <c r="C390" s="43">
        <v>130</v>
      </c>
      <c r="D390" s="45">
        <f t="shared" ca="1" si="18"/>
        <v>28</v>
      </c>
      <c r="E390" s="46">
        <f t="shared" ca="1" si="19"/>
        <v>4</v>
      </c>
      <c r="F390" s="46" t="str">
        <f t="shared" si="20"/>
        <v>Pantkärl</v>
      </c>
      <c r="G390" s="46" t="s">
        <v>2470</v>
      </c>
    </row>
    <row r="391" spans="1:7">
      <c r="A391" s="43" t="s">
        <v>2461</v>
      </c>
      <c r="B391" s="50" t="str">
        <f>CONCATENATE(VLOOKUP(C391,'Butiksobjekt steg 2'!A:B,2,FALSE)," ",A391)</f>
        <v>Hemköp Skövde Hentorp Matavfallskärl</v>
      </c>
      <c r="C391" s="43">
        <v>130</v>
      </c>
      <c r="D391" s="45">
        <f t="shared" ca="1" si="18"/>
        <v>34</v>
      </c>
      <c r="E391" s="46">
        <f t="shared" ca="1" si="19"/>
        <v>3</v>
      </c>
      <c r="F391" s="46" t="str">
        <f t="shared" si="20"/>
        <v>Matavfallskärl</v>
      </c>
      <c r="G391" s="46" t="s">
        <v>2468</v>
      </c>
    </row>
    <row r="392" spans="1:7">
      <c r="A392" s="43" t="s">
        <v>2462</v>
      </c>
      <c r="B392" s="50" t="str">
        <f>CONCATENATE(VLOOKUP(C392,'Butiksobjekt steg 2'!A:B,2,FALSE)," ",A392)</f>
        <v>Hemköp Skövde Hentorp Kuundvagnsgarage</v>
      </c>
      <c r="C392" s="43">
        <v>130</v>
      </c>
      <c r="D392" s="45">
        <f t="shared" ca="1" si="18"/>
        <v>18</v>
      </c>
      <c r="E392" s="46">
        <f t="shared" ca="1" si="19"/>
        <v>5</v>
      </c>
      <c r="F392" s="46" t="str">
        <f t="shared" si="20"/>
        <v>Kuundvagnsgarage</v>
      </c>
      <c r="G392" s="46" t="s">
        <v>2469</v>
      </c>
    </row>
    <row r="393" spans="1:7">
      <c r="A393" s="43" t="s">
        <v>2460</v>
      </c>
      <c r="B393" s="50" t="str">
        <f>CONCATENATE(VLOOKUP(C393,'Butiksobjekt steg 2'!A:B,2,FALSE)," ",A393)</f>
        <v>Hemköp Skövde Rydshallen Pantkärl</v>
      </c>
      <c r="C393" s="43">
        <v>131</v>
      </c>
      <c r="D393" s="45">
        <f t="shared" ca="1" si="18"/>
        <v>21</v>
      </c>
      <c r="E393" s="46">
        <f t="shared" ca="1" si="19"/>
        <v>3</v>
      </c>
      <c r="F393" s="46" t="str">
        <f t="shared" si="20"/>
        <v>Pantkärl</v>
      </c>
      <c r="G393" s="46" t="s">
        <v>2470</v>
      </c>
    </row>
    <row r="394" spans="1:7">
      <c r="A394" s="43" t="s">
        <v>2461</v>
      </c>
      <c r="B394" s="50" t="str">
        <f>CONCATENATE(VLOOKUP(C394,'Butiksobjekt steg 2'!A:B,2,FALSE)," ",A394)</f>
        <v>Hemköp Skövde Rydshallen Matavfallskärl</v>
      </c>
      <c r="C394" s="43">
        <v>131</v>
      </c>
      <c r="D394" s="45">
        <f t="shared" ca="1" si="18"/>
        <v>51</v>
      </c>
      <c r="E394" s="46">
        <f t="shared" ca="1" si="19"/>
        <v>3</v>
      </c>
      <c r="F394" s="46" t="str">
        <f t="shared" si="20"/>
        <v>Matavfallskärl</v>
      </c>
      <c r="G394" s="46" t="s">
        <v>2468</v>
      </c>
    </row>
    <row r="395" spans="1:7">
      <c r="A395" s="43" t="s">
        <v>2462</v>
      </c>
      <c r="B395" s="50" t="str">
        <f>CONCATENATE(VLOOKUP(C395,'Butiksobjekt steg 2'!A:B,2,FALSE)," ",A395)</f>
        <v>Hemköp Skövde Rydshallen Kuundvagnsgarage</v>
      </c>
      <c r="C395" s="43">
        <v>131</v>
      </c>
      <c r="D395" s="45">
        <f t="shared" ca="1" si="18"/>
        <v>24</v>
      </c>
      <c r="E395" s="46">
        <f t="shared" ca="1" si="19"/>
        <v>1</v>
      </c>
      <c r="F395" s="46" t="str">
        <f t="shared" si="20"/>
        <v>Kuundvagnsgarage</v>
      </c>
      <c r="G395" s="46" t="s">
        <v>2469</v>
      </c>
    </row>
    <row r="396" spans="1:7">
      <c r="A396" s="43" t="s">
        <v>2460</v>
      </c>
      <c r="B396" s="50" t="str">
        <f>CONCATENATE(VLOOKUP(C396,'Butiksobjekt steg 2'!A:B,2,FALSE)," ",A396)</f>
        <v>Hemköp Sollentuna Rotehallen Pantkärl</v>
      </c>
      <c r="C396" s="43">
        <v>132</v>
      </c>
      <c r="D396" s="45">
        <f t="shared" ca="1" si="18"/>
        <v>50</v>
      </c>
      <c r="E396" s="46">
        <f t="shared" ca="1" si="19"/>
        <v>4</v>
      </c>
      <c r="F396" s="46" t="str">
        <f t="shared" si="20"/>
        <v>Pantkärl</v>
      </c>
      <c r="G396" s="46" t="s">
        <v>2470</v>
      </c>
    </row>
    <row r="397" spans="1:7">
      <c r="A397" s="43" t="s">
        <v>2461</v>
      </c>
      <c r="B397" s="50" t="str">
        <f>CONCATENATE(VLOOKUP(C397,'Butiksobjekt steg 2'!A:B,2,FALSE)," ",A397)</f>
        <v>Hemköp Sollentuna Rotehallen Matavfallskärl</v>
      </c>
      <c r="C397" s="43">
        <v>132</v>
      </c>
      <c r="D397" s="45">
        <f t="shared" ca="1" si="18"/>
        <v>46</v>
      </c>
      <c r="E397" s="46">
        <f t="shared" ca="1" si="19"/>
        <v>5</v>
      </c>
      <c r="F397" s="46" t="str">
        <f t="shared" si="20"/>
        <v>Matavfallskärl</v>
      </c>
      <c r="G397" s="46" t="s">
        <v>2468</v>
      </c>
    </row>
    <row r="398" spans="1:7">
      <c r="A398" s="43" t="s">
        <v>2462</v>
      </c>
      <c r="B398" s="50" t="str">
        <f>CONCATENATE(VLOOKUP(C398,'Butiksobjekt steg 2'!A:B,2,FALSE)," ",A398)</f>
        <v>Hemköp Sollentuna Rotehallen Kuundvagnsgarage</v>
      </c>
      <c r="C398" s="43">
        <v>132</v>
      </c>
      <c r="D398" s="45">
        <f t="shared" ca="1" si="18"/>
        <v>18</v>
      </c>
      <c r="E398" s="46">
        <f t="shared" ca="1" si="19"/>
        <v>1</v>
      </c>
      <c r="F398" s="46" t="str">
        <f t="shared" si="20"/>
        <v>Kuundvagnsgarage</v>
      </c>
      <c r="G398" s="46" t="s">
        <v>2469</v>
      </c>
    </row>
    <row r="399" spans="1:7">
      <c r="A399" s="43" t="s">
        <v>2460</v>
      </c>
      <c r="B399" s="50" t="str">
        <f>CONCATENATE(VLOOKUP(C399,'Butiksobjekt steg 2'!A:B,2,FALSE)," ",A399)</f>
        <v>Hemköp Sollentuna Sjöbergshallen Pantkärl</v>
      </c>
      <c r="C399" s="43">
        <v>133</v>
      </c>
      <c r="D399" s="45">
        <f t="shared" ca="1" si="18"/>
        <v>8</v>
      </c>
      <c r="E399" s="46">
        <f t="shared" ca="1" si="19"/>
        <v>3</v>
      </c>
      <c r="F399" s="46" t="str">
        <f t="shared" si="20"/>
        <v>Pantkärl</v>
      </c>
      <c r="G399" s="46" t="s">
        <v>2470</v>
      </c>
    </row>
    <row r="400" spans="1:7">
      <c r="A400" s="43" t="s">
        <v>2461</v>
      </c>
      <c r="B400" s="50" t="str">
        <f>CONCATENATE(VLOOKUP(C400,'Butiksobjekt steg 2'!A:B,2,FALSE)," ",A400)</f>
        <v>Hemköp Sollentuna Sjöbergshallen Matavfallskärl</v>
      </c>
      <c r="C400" s="43">
        <v>133</v>
      </c>
      <c r="D400" s="45">
        <f t="shared" ca="1" si="18"/>
        <v>44</v>
      </c>
      <c r="E400" s="46">
        <f t="shared" ca="1" si="19"/>
        <v>3</v>
      </c>
      <c r="F400" s="46" t="str">
        <f t="shared" si="20"/>
        <v>Matavfallskärl</v>
      </c>
      <c r="G400" s="46" t="s">
        <v>2468</v>
      </c>
    </row>
    <row r="401" spans="1:7">
      <c r="A401" s="43" t="s">
        <v>2462</v>
      </c>
      <c r="B401" s="50" t="str">
        <f>CONCATENATE(VLOOKUP(C401,'Butiksobjekt steg 2'!A:B,2,FALSE)," ",A401)</f>
        <v>Hemköp Sollentuna Sjöbergshallen Kuundvagnsgarage</v>
      </c>
      <c r="C401" s="43">
        <v>133</v>
      </c>
      <c r="D401" s="45">
        <f t="shared" ca="1" si="18"/>
        <v>38</v>
      </c>
      <c r="E401" s="46">
        <f t="shared" ca="1" si="19"/>
        <v>3</v>
      </c>
      <c r="F401" s="46" t="str">
        <f t="shared" si="20"/>
        <v>Kuundvagnsgarage</v>
      </c>
      <c r="G401" s="46" t="s">
        <v>2469</v>
      </c>
    </row>
    <row r="402" spans="1:7">
      <c r="A402" s="43" t="s">
        <v>2460</v>
      </c>
      <c r="B402" s="50" t="str">
        <f>CONCATENATE(VLOOKUP(C402,'Butiksobjekt steg 2'!A:B,2,FALSE)," ",A402)</f>
        <v>Hemköp Solna C Pantkärl</v>
      </c>
      <c r="C402" s="43">
        <v>134</v>
      </c>
      <c r="D402" s="45">
        <f t="shared" ca="1" si="18"/>
        <v>50</v>
      </c>
      <c r="E402" s="46">
        <f t="shared" ca="1" si="19"/>
        <v>3</v>
      </c>
      <c r="F402" s="46" t="str">
        <f t="shared" si="20"/>
        <v>Pantkärl</v>
      </c>
      <c r="G402" s="46" t="s">
        <v>2470</v>
      </c>
    </row>
    <row r="403" spans="1:7">
      <c r="A403" s="43" t="s">
        <v>2461</v>
      </c>
      <c r="B403" s="50" t="str">
        <f>CONCATENATE(VLOOKUP(C403,'Butiksobjekt steg 2'!A:B,2,FALSE)," ",A403)</f>
        <v>Hemköp Solna C Matavfallskärl</v>
      </c>
      <c r="C403" s="43">
        <v>134</v>
      </c>
      <c r="D403" s="45">
        <f t="shared" ca="1" si="18"/>
        <v>31</v>
      </c>
      <c r="E403" s="46">
        <f t="shared" ca="1" si="19"/>
        <v>5</v>
      </c>
      <c r="F403" s="46" t="str">
        <f t="shared" si="20"/>
        <v>Matavfallskärl</v>
      </c>
      <c r="G403" s="46" t="s">
        <v>2468</v>
      </c>
    </row>
    <row r="404" spans="1:7">
      <c r="A404" s="43" t="s">
        <v>2462</v>
      </c>
      <c r="B404" s="50" t="str">
        <f>CONCATENATE(VLOOKUP(C404,'Butiksobjekt steg 2'!A:B,2,FALSE)," ",A404)</f>
        <v>Hemköp Solna C Kuundvagnsgarage</v>
      </c>
      <c r="C404" s="43">
        <v>134</v>
      </c>
      <c r="D404" s="45">
        <f t="shared" ca="1" si="18"/>
        <v>34</v>
      </c>
      <c r="E404" s="46">
        <f t="shared" ca="1" si="19"/>
        <v>5</v>
      </c>
      <c r="F404" s="46" t="str">
        <f t="shared" si="20"/>
        <v>Kuundvagnsgarage</v>
      </c>
      <c r="G404" s="46" t="s">
        <v>2469</v>
      </c>
    </row>
    <row r="405" spans="1:7">
      <c r="A405" s="43" t="s">
        <v>2460</v>
      </c>
      <c r="B405" s="50" t="str">
        <f>CONCATENATE(VLOOKUP(C405,'Butiksobjekt steg 2'!A:B,2,FALSE)," ",A405)</f>
        <v>Hemköp Solna Frösunda Boulevard Pantkärl</v>
      </c>
      <c r="C405" s="43">
        <v>135</v>
      </c>
      <c r="D405" s="45">
        <f t="shared" ca="1" si="18"/>
        <v>17</v>
      </c>
      <c r="E405" s="46">
        <f t="shared" ca="1" si="19"/>
        <v>3</v>
      </c>
      <c r="F405" s="46" t="str">
        <f t="shared" si="20"/>
        <v>Pantkärl</v>
      </c>
      <c r="G405" s="46" t="s">
        <v>2470</v>
      </c>
    </row>
    <row r="406" spans="1:7">
      <c r="A406" s="43" t="s">
        <v>2461</v>
      </c>
      <c r="B406" s="50" t="str">
        <f>CONCATENATE(VLOOKUP(C406,'Butiksobjekt steg 2'!A:B,2,FALSE)," ",A406)</f>
        <v>Hemköp Solna Frösunda Boulevard Matavfallskärl</v>
      </c>
      <c r="C406" s="43">
        <v>135</v>
      </c>
      <c r="D406" s="45">
        <f t="shared" ca="1" si="18"/>
        <v>17</v>
      </c>
      <c r="E406" s="46">
        <f t="shared" ca="1" si="19"/>
        <v>2</v>
      </c>
      <c r="F406" s="46" t="str">
        <f t="shared" si="20"/>
        <v>Matavfallskärl</v>
      </c>
      <c r="G406" s="46" t="s">
        <v>2468</v>
      </c>
    </row>
    <row r="407" spans="1:7">
      <c r="A407" s="43" t="s">
        <v>2462</v>
      </c>
      <c r="B407" s="50" t="str">
        <f>CONCATENATE(VLOOKUP(C407,'Butiksobjekt steg 2'!A:B,2,FALSE)," ",A407)</f>
        <v>Hemköp Solna Frösunda Boulevard Kuundvagnsgarage</v>
      </c>
      <c r="C407" s="43">
        <v>135</v>
      </c>
      <c r="D407" s="45">
        <f t="shared" ca="1" si="18"/>
        <v>23</v>
      </c>
      <c r="E407" s="46">
        <f t="shared" ca="1" si="19"/>
        <v>3</v>
      </c>
      <c r="F407" s="46" t="str">
        <f t="shared" si="20"/>
        <v>Kuundvagnsgarage</v>
      </c>
      <c r="G407" s="46" t="s">
        <v>2469</v>
      </c>
    </row>
    <row r="408" spans="1:7">
      <c r="A408" s="43" t="s">
        <v>2460</v>
      </c>
      <c r="B408" s="50" t="str">
        <f>CONCATENATE(VLOOKUP(C408,'Butiksobjekt steg 2'!A:B,2,FALSE)," ",A408)</f>
        <v>Hemköp Solna Huvudsta C Pantkärl</v>
      </c>
      <c r="C408" s="43">
        <v>136</v>
      </c>
      <c r="D408" s="45">
        <f t="shared" ca="1" si="18"/>
        <v>24</v>
      </c>
      <c r="E408" s="46">
        <f t="shared" ca="1" si="19"/>
        <v>4</v>
      </c>
      <c r="F408" s="46" t="str">
        <f t="shared" si="20"/>
        <v>Pantkärl</v>
      </c>
      <c r="G408" s="46" t="s">
        <v>2470</v>
      </c>
    </row>
    <row r="409" spans="1:7">
      <c r="A409" s="43" t="s">
        <v>2461</v>
      </c>
      <c r="B409" s="50" t="str">
        <f>CONCATENATE(VLOOKUP(C409,'Butiksobjekt steg 2'!A:B,2,FALSE)," ",A409)</f>
        <v>Hemköp Solna Huvudsta C Matavfallskärl</v>
      </c>
      <c r="C409" s="43">
        <v>136</v>
      </c>
      <c r="D409" s="45">
        <f t="shared" ca="1" si="18"/>
        <v>22</v>
      </c>
      <c r="E409" s="46">
        <f t="shared" ca="1" si="19"/>
        <v>2</v>
      </c>
      <c r="F409" s="46" t="str">
        <f t="shared" si="20"/>
        <v>Matavfallskärl</v>
      </c>
      <c r="G409" s="46" t="s">
        <v>2468</v>
      </c>
    </row>
    <row r="410" spans="1:7">
      <c r="A410" s="43" t="s">
        <v>2462</v>
      </c>
      <c r="B410" s="50" t="str">
        <f>CONCATENATE(VLOOKUP(C410,'Butiksobjekt steg 2'!A:B,2,FALSE)," ",A410)</f>
        <v>Hemköp Solna Huvudsta C Kuundvagnsgarage</v>
      </c>
      <c r="C410" s="43">
        <v>136</v>
      </c>
      <c r="D410" s="45">
        <f t="shared" ca="1" si="18"/>
        <v>20</v>
      </c>
      <c r="E410" s="46">
        <f t="shared" ca="1" si="19"/>
        <v>1</v>
      </c>
      <c r="F410" s="46" t="str">
        <f t="shared" si="20"/>
        <v>Kuundvagnsgarage</v>
      </c>
      <c r="G410" s="46" t="s">
        <v>2469</v>
      </c>
    </row>
    <row r="411" spans="1:7">
      <c r="A411" s="43" t="s">
        <v>2460</v>
      </c>
      <c r="B411" s="50" t="str">
        <f>CONCATENATE(VLOOKUP(C411,'Butiksobjekt steg 2'!A:B,2,FALSE)," ",A411)</f>
        <v>Hemköp Solna Mall of Scandinavia Pantkärl</v>
      </c>
      <c r="C411" s="43">
        <v>137</v>
      </c>
      <c r="D411" s="45">
        <f t="shared" ca="1" si="18"/>
        <v>24</v>
      </c>
      <c r="E411" s="46">
        <f t="shared" ca="1" si="19"/>
        <v>1</v>
      </c>
      <c r="F411" s="46" t="str">
        <f t="shared" si="20"/>
        <v>Pantkärl</v>
      </c>
      <c r="G411" s="46" t="s">
        <v>2470</v>
      </c>
    </row>
    <row r="412" spans="1:7">
      <c r="A412" s="43" t="s">
        <v>2461</v>
      </c>
      <c r="B412" s="50" t="str">
        <f>CONCATENATE(VLOOKUP(C412,'Butiksobjekt steg 2'!A:B,2,FALSE)," ",A412)</f>
        <v>Hemköp Solna Mall of Scandinavia Matavfallskärl</v>
      </c>
      <c r="C412" s="43">
        <v>137</v>
      </c>
      <c r="D412" s="45">
        <f t="shared" ca="1" si="18"/>
        <v>15</v>
      </c>
      <c r="E412" s="46">
        <f t="shared" ca="1" si="19"/>
        <v>5</v>
      </c>
      <c r="F412" s="46" t="str">
        <f t="shared" si="20"/>
        <v>Matavfallskärl</v>
      </c>
      <c r="G412" s="46" t="s">
        <v>2468</v>
      </c>
    </row>
    <row r="413" spans="1:7">
      <c r="A413" s="43" t="s">
        <v>2462</v>
      </c>
      <c r="B413" s="50" t="str">
        <f>CONCATENATE(VLOOKUP(C413,'Butiksobjekt steg 2'!A:B,2,FALSE)," ",A413)</f>
        <v>Hemköp Solna Mall of Scandinavia Kuundvagnsgarage</v>
      </c>
      <c r="C413" s="43">
        <v>137</v>
      </c>
      <c r="D413" s="45">
        <f t="shared" ca="1" si="18"/>
        <v>25</v>
      </c>
      <c r="E413" s="46">
        <f t="shared" ca="1" si="19"/>
        <v>2</v>
      </c>
      <c r="F413" s="46" t="str">
        <f t="shared" si="20"/>
        <v>Kuundvagnsgarage</v>
      </c>
      <c r="G413" s="46" t="s">
        <v>2469</v>
      </c>
    </row>
    <row r="414" spans="1:7">
      <c r="A414" s="43" t="s">
        <v>2460</v>
      </c>
      <c r="B414" s="50" t="str">
        <f>CONCATENATE(VLOOKUP(C414,'Butiksobjekt steg 2'!A:B,2,FALSE)," ",A414)</f>
        <v>Hemköp Solna Ulriksdal Pantkärl</v>
      </c>
      <c r="C414" s="43">
        <v>138</v>
      </c>
      <c r="D414" s="45">
        <f t="shared" ca="1" si="18"/>
        <v>38</v>
      </c>
      <c r="E414" s="46">
        <f t="shared" ca="1" si="19"/>
        <v>4</v>
      </c>
      <c r="F414" s="46" t="str">
        <f t="shared" si="20"/>
        <v>Pantkärl</v>
      </c>
      <c r="G414" s="46" t="s">
        <v>2470</v>
      </c>
    </row>
    <row r="415" spans="1:7">
      <c r="A415" s="43" t="s">
        <v>2461</v>
      </c>
      <c r="B415" s="50" t="str">
        <f>CONCATENATE(VLOOKUP(C415,'Butiksobjekt steg 2'!A:B,2,FALSE)," ",A415)</f>
        <v>Hemköp Solna Ulriksdal Matavfallskärl</v>
      </c>
      <c r="C415" s="43">
        <v>138</v>
      </c>
      <c r="D415" s="45">
        <f t="shared" ca="1" si="18"/>
        <v>9</v>
      </c>
      <c r="E415" s="46">
        <f t="shared" ca="1" si="19"/>
        <v>2</v>
      </c>
      <c r="F415" s="46" t="str">
        <f t="shared" si="20"/>
        <v>Matavfallskärl</v>
      </c>
      <c r="G415" s="46" t="s">
        <v>2468</v>
      </c>
    </row>
    <row r="416" spans="1:7">
      <c r="A416" s="43" t="s">
        <v>2462</v>
      </c>
      <c r="B416" s="50" t="str">
        <f>CONCATENATE(VLOOKUP(C416,'Butiksobjekt steg 2'!A:B,2,FALSE)," ",A416)</f>
        <v>Hemköp Solna Ulriksdal Kuundvagnsgarage</v>
      </c>
      <c r="C416" s="43">
        <v>138</v>
      </c>
      <c r="D416" s="45">
        <f t="shared" ca="1" si="18"/>
        <v>37</v>
      </c>
      <c r="E416" s="46">
        <f t="shared" ca="1" si="19"/>
        <v>2</v>
      </c>
      <c r="F416" s="46" t="str">
        <f t="shared" si="20"/>
        <v>Kuundvagnsgarage</v>
      </c>
      <c r="G416" s="46" t="s">
        <v>2469</v>
      </c>
    </row>
    <row r="417" spans="1:7">
      <c r="A417" s="43" t="s">
        <v>2460</v>
      </c>
      <c r="B417" s="50" t="str">
        <f>CONCATENATE(VLOOKUP(C417,'Butiksobjekt steg 2'!A:B,2,FALSE)," ",A417)</f>
        <v>Hemköp Stenungsund Stora Höga Pantkärl</v>
      </c>
      <c r="C417" s="43">
        <v>139</v>
      </c>
      <c r="D417" s="45">
        <f t="shared" ca="1" si="18"/>
        <v>53</v>
      </c>
      <c r="E417" s="46">
        <f t="shared" ca="1" si="19"/>
        <v>2</v>
      </c>
      <c r="F417" s="46" t="str">
        <f t="shared" si="20"/>
        <v>Pantkärl</v>
      </c>
      <c r="G417" s="46" t="s">
        <v>2470</v>
      </c>
    </row>
    <row r="418" spans="1:7">
      <c r="A418" s="43" t="s">
        <v>2461</v>
      </c>
      <c r="B418" s="50" t="str">
        <f>CONCATENATE(VLOOKUP(C418,'Butiksobjekt steg 2'!A:B,2,FALSE)," ",A418)</f>
        <v>Hemköp Stenungsund Stora Höga Matavfallskärl</v>
      </c>
      <c r="C418" s="43">
        <v>139</v>
      </c>
      <c r="D418" s="45">
        <f t="shared" ca="1" si="18"/>
        <v>25</v>
      </c>
      <c r="E418" s="46">
        <f t="shared" ca="1" si="19"/>
        <v>3</v>
      </c>
      <c r="F418" s="46" t="str">
        <f t="shared" si="20"/>
        <v>Matavfallskärl</v>
      </c>
      <c r="G418" s="46" t="s">
        <v>2468</v>
      </c>
    </row>
    <row r="419" spans="1:7">
      <c r="A419" s="43" t="s">
        <v>2462</v>
      </c>
      <c r="B419" s="50" t="str">
        <f>CONCATENATE(VLOOKUP(C419,'Butiksobjekt steg 2'!A:B,2,FALSE)," ",A419)</f>
        <v>Hemköp Stenungsund Stora Höga Kuundvagnsgarage</v>
      </c>
      <c r="C419" s="43">
        <v>139</v>
      </c>
      <c r="D419" s="45">
        <f t="shared" ca="1" si="18"/>
        <v>45</v>
      </c>
      <c r="E419" s="46">
        <f t="shared" ca="1" si="19"/>
        <v>3</v>
      </c>
      <c r="F419" s="46" t="str">
        <f t="shared" si="20"/>
        <v>Kuundvagnsgarage</v>
      </c>
      <c r="G419" s="46" t="s">
        <v>2469</v>
      </c>
    </row>
    <row r="420" spans="1:7">
      <c r="A420" s="43" t="s">
        <v>2460</v>
      </c>
      <c r="B420" s="50" t="str">
        <f>CONCATENATE(VLOOKUP(C420,'Butiksobjekt steg 2'!A:B,2,FALSE)," ",A420)</f>
        <v>Hemköp Stockholm Birger Jarlsgatan Pantkärl</v>
      </c>
      <c r="C420" s="43">
        <v>140</v>
      </c>
      <c r="D420" s="45">
        <f t="shared" ca="1" si="18"/>
        <v>38</v>
      </c>
      <c r="E420" s="46">
        <f t="shared" ca="1" si="19"/>
        <v>1</v>
      </c>
      <c r="F420" s="46" t="str">
        <f t="shared" si="20"/>
        <v>Pantkärl</v>
      </c>
      <c r="G420" s="46" t="s">
        <v>2470</v>
      </c>
    </row>
    <row r="421" spans="1:7">
      <c r="A421" s="43" t="s">
        <v>2461</v>
      </c>
      <c r="B421" s="50" t="str">
        <f>CONCATENATE(VLOOKUP(C421,'Butiksobjekt steg 2'!A:B,2,FALSE)," ",A421)</f>
        <v>Hemköp Stockholm Birger Jarlsgatan Matavfallskärl</v>
      </c>
      <c r="C421" s="43">
        <v>140</v>
      </c>
      <c r="D421" s="45">
        <f t="shared" ca="1" si="18"/>
        <v>15</v>
      </c>
      <c r="E421" s="46">
        <f t="shared" ca="1" si="19"/>
        <v>3</v>
      </c>
      <c r="F421" s="46" t="str">
        <f t="shared" si="20"/>
        <v>Matavfallskärl</v>
      </c>
      <c r="G421" s="46" t="s">
        <v>2468</v>
      </c>
    </row>
    <row r="422" spans="1:7">
      <c r="A422" s="43" t="s">
        <v>2462</v>
      </c>
      <c r="B422" s="50" t="str">
        <f>CONCATENATE(VLOOKUP(C422,'Butiksobjekt steg 2'!A:B,2,FALSE)," ",A422)</f>
        <v>Hemköp Stockholm Birger Jarlsgatan Kuundvagnsgarage</v>
      </c>
      <c r="C422" s="43">
        <v>140</v>
      </c>
      <c r="D422" s="45">
        <f t="shared" ca="1" si="18"/>
        <v>48</v>
      </c>
      <c r="E422" s="46">
        <f t="shared" ca="1" si="19"/>
        <v>2</v>
      </c>
      <c r="F422" s="46" t="str">
        <f t="shared" si="20"/>
        <v>Kuundvagnsgarage</v>
      </c>
      <c r="G422" s="46" t="s">
        <v>2469</v>
      </c>
    </row>
    <row r="423" spans="1:7">
      <c r="A423" s="43" t="s">
        <v>2460</v>
      </c>
      <c r="B423" s="50" t="str">
        <f>CONCATENATE(VLOOKUP(C423,'Butiksobjekt steg 2'!A:B,2,FALSE)," ",A423)</f>
        <v>Hemköp Stockholm Blackeberg C Pantkärl</v>
      </c>
      <c r="C423" s="43">
        <v>141</v>
      </c>
      <c r="D423" s="45">
        <f t="shared" ca="1" si="18"/>
        <v>37</v>
      </c>
      <c r="E423" s="46">
        <f t="shared" ca="1" si="19"/>
        <v>4</v>
      </c>
      <c r="F423" s="46" t="str">
        <f t="shared" si="20"/>
        <v>Pantkärl</v>
      </c>
      <c r="G423" s="46" t="s">
        <v>2470</v>
      </c>
    </row>
    <row r="424" spans="1:7">
      <c r="A424" s="43" t="s">
        <v>2461</v>
      </c>
      <c r="B424" s="50" t="str">
        <f>CONCATENATE(VLOOKUP(C424,'Butiksobjekt steg 2'!A:B,2,FALSE)," ",A424)</f>
        <v>Hemköp Stockholm Blackeberg C Matavfallskärl</v>
      </c>
      <c r="C424" s="43">
        <v>141</v>
      </c>
      <c r="D424" s="45">
        <f t="shared" ca="1" si="18"/>
        <v>52</v>
      </c>
      <c r="E424" s="46">
        <f t="shared" ca="1" si="19"/>
        <v>1</v>
      </c>
      <c r="F424" s="46" t="str">
        <f t="shared" si="20"/>
        <v>Matavfallskärl</v>
      </c>
      <c r="G424" s="46" t="s">
        <v>2468</v>
      </c>
    </row>
    <row r="425" spans="1:7">
      <c r="A425" s="43" t="s">
        <v>2462</v>
      </c>
      <c r="B425" s="50" t="str">
        <f>CONCATENATE(VLOOKUP(C425,'Butiksobjekt steg 2'!A:B,2,FALSE)," ",A425)</f>
        <v>Hemköp Stockholm Blackeberg C Kuundvagnsgarage</v>
      </c>
      <c r="C425" s="43">
        <v>141</v>
      </c>
      <c r="D425" s="45">
        <f t="shared" ca="1" si="18"/>
        <v>50</v>
      </c>
      <c r="E425" s="46">
        <f t="shared" ca="1" si="19"/>
        <v>5</v>
      </c>
      <c r="F425" s="46" t="str">
        <f t="shared" si="20"/>
        <v>Kuundvagnsgarage</v>
      </c>
      <c r="G425" s="46" t="s">
        <v>2469</v>
      </c>
    </row>
    <row r="426" spans="1:7">
      <c r="A426" s="43" t="s">
        <v>2460</v>
      </c>
      <c r="B426" s="50" t="str">
        <f>CONCATENATE(VLOOKUP(C426,'Butiksobjekt steg 2'!A:B,2,FALSE)," ",A426)</f>
        <v>Hemköp Stockholm Bredäng C Pantkärl</v>
      </c>
      <c r="C426" s="43">
        <v>142</v>
      </c>
      <c r="D426" s="45">
        <f t="shared" ca="1" si="18"/>
        <v>8</v>
      </c>
      <c r="E426" s="46">
        <f t="shared" ca="1" si="19"/>
        <v>4</v>
      </c>
      <c r="F426" s="46" t="str">
        <f t="shared" si="20"/>
        <v>Pantkärl</v>
      </c>
      <c r="G426" s="46" t="s">
        <v>2470</v>
      </c>
    </row>
    <row r="427" spans="1:7">
      <c r="A427" s="43" t="s">
        <v>2461</v>
      </c>
      <c r="B427" s="50" t="str">
        <f>CONCATENATE(VLOOKUP(C427,'Butiksobjekt steg 2'!A:B,2,FALSE)," ",A427)</f>
        <v>Hemköp Stockholm Bredäng C Matavfallskärl</v>
      </c>
      <c r="C427" s="43">
        <v>142</v>
      </c>
      <c r="D427" s="45">
        <f t="shared" ca="1" si="18"/>
        <v>14</v>
      </c>
      <c r="E427" s="46">
        <f t="shared" ca="1" si="19"/>
        <v>3</v>
      </c>
      <c r="F427" s="46" t="str">
        <f t="shared" si="20"/>
        <v>Matavfallskärl</v>
      </c>
      <c r="G427" s="46" t="s">
        <v>2468</v>
      </c>
    </row>
    <row r="428" spans="1:7">
      <c r="A428" s="43" t="s">
        <v>2462</v>
      </c>
      <c r="B428" s="50" t="str">
        <f>CONCATENATE(VLOOKUP(C428,'Butiksobjekt steg 2'!A:B,2,FALSE)," ",A428)</f>
        <v>Hemköp Stockholm Bredäng C Kuundvagnsgarage</v>
      </c>
      <c r="C428" s="43">
        <v>142</v>
      </c>
      <c r="D428" s="45">
        <f t="shared" ca="1" si="18"/>
        <v>18</v>
      </c>
      <c r="E428" s="46">
        <f t="shared" ca="1" si="19"/>
        <v>4</v>
      </c>
      <c r="F428" s="46" t="str">
        <f t="shared" si="20"/>
        <v>Kuundvagnsgarage</v>
      </c>
      <c r="G428" s="46" t="s">
        <v>2469</v>
      </c>
    </row>
    <row r="429" spans="1:7">
      <c r="A429" s="43" t="s">
        <v>2460</v>
      </c>
      <c r="B429" s="50" t="str">
        <f>CONCATENATE(VLOOKUP(C429,'Butiksobjekt steg 2'!A:B,2,FALSE)," ",A429)</f>
        <v>Hemköp Stockholm City Pantkärl</v>
      </c>
      <c r="C429" s="43">
        <v>143</v>
      </c>
      <c r="D429" s="45">
        <f t="shared" ca="1" si="18"/>
        <v>44</v>
      </c>
      <c r="E429" s="46">
        <f t="shared" ca="1" si="19"/>
        <v>2</v>
      </c>
      <c r="F429" s="46" t="str">
        <f t="shared" si="20"/>
        <v>Pantkärl</v>
      </c>
      <c r="G429" s="46" t="s">
        <v>2470</v>
      </c>
    </row>
    <row r="430" spans="1:7">
      <c r="A430" s="43" t="s">
        <v>2461</v>
      </c>
      <c r="B430" s="50" t="str">
        <f>CONCATENATE(VLOOKUP(C430,'Butiksobjekt steg 2'!A:B,2,FALSE)," ",A430)</f>
        <v>Hemköp Stockholm City Matavfallskärl</v>
      </c>
      <c r="C430" s="43">
        <v>143</v>
      </c>
      <c r="D430" s="45">
        <f t="shared" ca="1" si="18"/>
        <v>29</v>
      </c>
      <c r="E430" s="46">
        <f t="shared" ca="1" si="19"/>
        <v>3</v>
      </c>
      <c r="F430" s="46" t="str">
        <f t="shared" si="20"/>
        <v>Matavfallskärl</v>
      </c>
      <c r="G430" s="46" t="s">
        <v>2468</v>
      </c>
    </row>
    <row r="431" spans="1:7">
      <c r="A431" s="43" t="s">
        <v>2462</v>
      </c>
      <c r="B431" s="50" t="str">
        <f>CONCATENATE(VLOOKUP(C431,'Butiksobjekt steg 2'!A:B,2,FALSE)," ",A431)</f>
        <v>Hemköp Stockholm City Kuundvagnsgarage</v>
      </c>
      <c r="C431" s="43">
        <v>143</v>
      </c>
      <c r="D431" s="45">
        <f t="shared" ca="1" si="18"/>
        <v>47</v>
      </c>
      <c r="E431" s="46">
        <f t="shared" ca="1" si="19"/>
        <v>5</v>
      </c>
      <c r="F431" s="46" t="str">
        <f t="shared" si="20"/>
        <v>Kuundvagnsgarage</v>
      </c>
      <c r="G431" s="46" t="s">
        <v>2469</v>
      </c>
    </row>
    <row r="432" spans="1:7">
      <c r="A432" s="43" t="s">
        <v>2460</v>
      </c>
      <c r="B432" s="50" t="str">
        <f>CONCATENATE(VLOOKUP(C432,'Butiksobjekt steg 2'!A:B,2,FALSE)," ",A432)</f>
        <v>Hemköp Stockholm Djurgårdsstaden Pantkärl</v>
      </c>
      <c r="C432" s="43">
        <v>144</v>
      </c>
      <c r="D432" s="45">
        <f t="shared" ca="1" si="18"/>
        <v>45</v>
      </c>
      <c r="E432" s="46">
        <f t="shared" ca="1" si="19"/>
        <v>4</v>
      </c>
      <c r="F432" s="46" t="str">
        <f t="shared" si="20"/>
        <v>Pantkärl</v>
      </c>
      <c r="G432" s="46" t="s">
        <v>2470</v>
      </c>
    </row>
    <row r="433" spans="1:7">
      <c r="A433" s="43" t="s">
        <v>2461</v>
      </c>
      <c r="B433" s="50" t="str">
        <f>CONCATENATE(VLOOKUP(C433,'Butiksobjekt steg 2'!A:B,2,FALSE)," ",A433)</f>
        <v>Hemköp Stockholm Djurgårdsstaden Matavfallskärl</v>
      </c>
      <c r="C433" s="43">
        <v>144</v>
      </c>
      <c r="D433" s="45">
        <f t="shared" ca="1" si="18"/>
        <v>38</v>
      </c>
      <c r="E433" s="46">
        <f t="shared" ca="1" si="19"/>
        <v>1</v>
      </c>
      <c r="F433" s="46" t="str">
        <f t="shared" si="20"/>
        <v>Matavfallskärl</v>
      </c>
      <c r="G433" s="46" t="s">
        <v>2468</v>
      </c>
    </row>
    <row r="434" spans="1:7">
      <c r="A434" s="43" t="s">
        <v>2462</v>
      </c>
      <c r="B434" s="50" t="str">
        <f>CONCATENATE(VLOOKUP(C434,'Butiksobjekt steg 2'!A:B,2,FALSE)," ",A434)</f>
        <v>Hemköp Stockholm Djurgårdsstaden Kuundvagnsgarage</v>
      </c>
      <c r="C434" s="43">
        <v>144</v>
      </c>
      <c r="D434" s="45">
        <f t="shared" ca="1" si="18"/>
        <v>36</v>
      </c>
      <c r="E434" s="46">
        <f t="shared" ca="1" si="19"/>
        <v>4</v>
      </c>
      <c r="F434" s="46" t="str">
        <f t="shared" si="20"/>
        <v>Kuundvagnsgarage</v>
      </c>
      <c r="G434" s="46" t="s">
        <v>2469</v>
      </c>
    </row>
    <row r="435" spans="1:7">
      <c r="A435" s="43" t="s">
        <v>2460</v>
      </c>
      <c r="B435" s="50" t="str">
        <f>CONCATENATE(VLOOKUP(C435,'Butiksobjekt steg 2'!A:B,2,FALSE)," ",A435)</f>
        <v>Hemköp Stockholm Farsta C Pantkärl</v>
      </c>
      <c r="C435" s="43">
        <v>145</v>
      </c>
      <c r="D435" s="45">
        <f t="shared" ca="1" si="18"/>
        <v>43</v>
      </c>
      <c r="E435" s="46">
        <f t="shared" ca="1" si="19"/>
        <v>5</v>
      </c>
      <c r="F435" s="46" t="str">
        <f t="shared" si="20"/>
        <v>Pantkärl</v>
      </c>
      <c r="G435" s="46" t="s">
        <v>2470</v>
      </c>
    </row>
    <row r="436" spans="1:7">
      <c r="A436" s="43" t="s">
        <v>2461</v>
      </c>
      <c r="B436" s="50" t="str">
        <f>CONCATENATE(VLOOKUP(C436,'Butiksobjekt steg 2'!A:B,2,FALSE)," ",A436)</f>
        <v>Hemköp Stockholm Farsta C Matavfallskärl</v>
      </c>
      <c r="C436" s="43">
        <v>145</v>
      </c>
      <c r="D436" s="45">
        <f t="shared" ca="1" si="18"/>
        <v>32</v>
      </c>
      <c r="E436" s="46">
        <f t="shared" ca="1" si="19"/>
        <v>5</v>
      </c>
      <c r="F436" s="46" t="str">
        <f t="shared" si="20"/>
        <v>Matavfallskärl</v>
      </c>
      <c r="G436" s="46" t="s">
        <v>2468</v>
      </c>
    </row>
    <row r="437" spans="1:7">
      <c r="A437" s="43" t="s">
        <v>2462</v>
      </c>
      <c r="B437" s="50" t="str">
        <f>CONCATENATE(VLOOKUP(C437,'Butiksobjekt steg 2'!A:B,2,FALSE)," ",A437)</f>
        <v>Hemköp Stockholm Farsta C Kuundvagnsgarage</v>
      </c>
      <c r="C437" s="43">
        <v>145</v>
      </c>
      <c r="D437" s="45">
        <f t="shared" ca="1" si="18"/>
        <v>53</v>
      </c>
      <c r="E437" s="46">
        <f t="shared" ca="1" si="19"/>
        <v>5</v>
      </c>
      <c r="F437" s="46" t="str">
        <f t="shared" si="20"/>
        <v>Kuundvagnsgarage</v>
      </c>
      <c r="G437" s="46" t="s">
        <v>2469</v>
      </c>
    </row>
    <row r="438" spans="1:7">
      <c r="A438" s="43" t="s">
        <v>2460</v>
      </c>
      <c r="B438" s="50" t="str">
        <f>CONCATENATE(VLOOKUP(C438,'Butiksobjekt steg 2'!A:B,2,FALSE)," ",A438)</f>
        <v>Hemköp Stockholm Fatburen Pantkärl</v>
      </c>
      <c r="C438" s="43">
        <v>146</v>
      </c>
      <c r="D438" s="45">
        <f t="shared" ca="1" si="18"/>
        <v>20</v>
      </c>
      <c r="E438" s="46">
        <f t="shared" ca="1" si="19"/>
        <v>3</v>
      </c>
      <c r="F438" s="46" t="str">
        <f t="shared" si="20"/>
        <v>Pantkärl</v>
      </c>
      <c r="G438" s="46" t="s">
        <v>2470</v>
      </c>
    </row>
    <row r="439" spans="1:7">
      <c r="A439" s="43" t="s">
        <v>2461</v>
      </c>
      <c r="B439" s="50" t="str">
        <f>CONCATENATE(VLOOKUP(C439,'Butiksobjekt steg 2'!A:B,2,FALSE)," ",A439)</f>
        <v>Hemköp Stockholm Fatburen Matavfallskärl</v>
      </c>
      <c r="C439" s="43">
        <v>146</v>
      </c>
      <c r="D439" s="45">
        <f t="shared" ca="1" si="18"/>
        <v>50</v>
      </c>
      <c r="E439" s="46">
        <f t="shared" ca="1" si="19"/>
        <v>3</v>
      </c>
      <c r="F439" s="46" t="str">
        <f t="shared" si="20"/>
        <v>Matavfallskärl</v>
      </c>
      <c r="G439" s="46" t="s">
        <v>2468</v>
      </c>
    </row>
    <row r="440" spans="1:7">
      <c r="A440" s="43" t="s">
        <v>2462</v>
      </c>
      <c r="B440" s="50" t="str">
        <f>CONCATENATE(VLOOKUP(C440,'Butiksobjekt steg 2'!A:B,2,FALSE)," ",A440)</f>
        <v>Hemköp Stockholm Fatburen Kuundvagnsgarage</v>
      </c>
      <c r="C440" s="43">
        <v>146</v>
      </c>
      <c r="D440" s="45">
        <f t="shared" ca="1" si="18"/>
        <v>27</v>
      </c>
      <c r="E440" s="46">
        <f t="shared" ca="1" si="19"/>
        <v>2</v>
      </c>
      <c r="F440" s="46" t="str">
        <f t="shared" si="20"/>
        <v>Kuundvagnsgarage</v>
      </c>
      <c r="G440" s="46" t="s">
        <v>2469</v>
      </c>
    </row>
    <row r="441" spans="1:7">
      <c r="A441" s="43" t="s">
        <v>2460</v>
      </c>
      <c r="B441" s="50" t="str">
        <f>CONCATENATE(VLOOKUP(C441,'Butiksobjekt steg 2'!A:B,2,FALSE)," ",A441)</f>
        <v>Hemköp Stockholm Fruängen C Pantkärl</v>
      </c>
      <c r="C441" s="43">
        <v>147</v>
      </c>
      <c r="D441" s="45">
        <f t="shared" ca="1" si="18"/>
        <v>48</v>
      </c>
      <c r="E441" s="46">
        <f t="shared" ca="1" si="19"/>
        <v>1</v>
      </c>
      <c r="F441" s="46" t="str">
        <f t="shared" si="20"/>
        <v>Pantkärl</v>
      </c>
      <c r="G441" s="46" t="s">
        <v>2470</v>
      </c>
    </row>
    <row r="442" spans="1:7">
      <c r="A442" s="43" t="s">
        <v>2461</v>
      </c>
      <c r="B442" s="50" t="str">
        <f>CONCATENATE(VLOOKUP(C442,'Butiksobjekt steg 2'!A:B,2,FALSE)," ",A442)</f>
        <v>Hemköp Stockholm Fruängen C Matavfallskärl</v>
      </c>
      <c r="C442" s="43">
        <v>147</v>
      </c>
      <c r="D442" s="45">
        <f t="shared" ca="1" si="18"/>
        <v>28</v>
      </c>
      <c r="E442" s="46">
        <f t="shared" ca="1" si="19"/>
        <v>2</v>
      </c>
      <c r="F442" s="46" t="str">
        <f t="shared" si="20"/>
        <v>Matavfallskärl</v>
      </c>
      <c r="G442" s="46" t="s">
        <v>2468</v>
      </c>
    </row>
    <row r="443" spans="1:7">
      <c r="A443" s="43" t="s">
        <v>2462</v>
      </c>
      <c r="B443" s="50" t="str">
        <f>CONCATENATE(VLOOKUP(C443,'Butiksobjekt steg 2'!A:B,2,FALSE)," ",A443)</f>
        <v>Hemköp Stockholm Fruängen C Kuundvagnsgarage</v>
      </c>
      <c r="C443" s="43">
        <v>147</v>
      </c>
      <c r="D443" s="45">
        <f t="shared" ca="1" si="18"/>
        <v>20</v>
      </c>
      <c r="E443" s="46">
        <f t="shared" ca="1" si="19"/>
        <v>5</v>
      </c>
      <c r="F443" s="46" t="str">
        <f t="shared" si="20"/>
        <v>Kuundvagnsgarage</v>
      </c>
      <c r="G443" s="46" t="s">
        <v>2469</v>
      </c>
    </row>
    <row r="444" spans="1:7">
      <c r="A444" s="43" t="s">
        <v>2460</v>
      </c>
      <c r="B444" s="50" t="str">
        <f>CONCATENATE(VLOOKUP(C444,'Butiksobjekt steg 2'!A:B,2,FALSE)," ",A444)</f>
        <v>Hemköp Stockholm Gullmarsplan Pantkärl</v>
      </c>
      <c r="C444" s="43">
        <v>148</v>
      </c>
      <c r="D444" s="45">
        <f t="shared" ca="1" si="18"/>
        <v>21</v>
      </c>
      <c r="E444" s="46">
        <f t="shared" ca="1" si="19"/>
        <v>1</v>
      </c>
      <c r="F444" s="46" t="str">
        <f t="shared" si="20"/>
        <v>Pantkärl</v>
      </c>
      <c r="G444" s="46" t="s">
        <v>2470</v>
      </c>
    </row>
    <row r="445" spans="1:7">
      <c r="A445" s="43" t="s">
        <v>2461</v>
      </c>
      <c r="B445" s="50" t="str">
        <f>CONCATENATE(VLOOKUP(C445,'Butiksobjekt steg 2'!A:B,2,FALSE)," ",A445)</f>
        <v>Hemköp Stockholm Gullmarsplan Matavfallskärl</v>
      </c>
      <c r="C445" s="43">
        <v>148</v>
      </c>
      <c r="D445" s="45">
        <f t="shared" ca="1" si="18"/>
        <v>42</v>
      </c>
      <c r="E445" s="46">
        <f t="shared" ca="1" si="19"/>
        <v>3</v>
      </c>
      <c r="F445" s="46" t="str">
        <f t="shared" si="20"/>
        <v>Matavfallskärl</v>
      </c>
      <c r="G445" s="46" t="s">
        <v>2468</v>
      </c>
    </row>
    <row r="446" spans="1:7">
      <c r="A446" s="43" t="s">
        <v>2462</v>
      </c>
      <c r="B446" s="50" t="str">
        <f>CONCATENATE(VLOOKUP(C446,'Butiksobjekt steg 2'!A:B,2,FALSE)," ",A446)</f>
        <v>Hemköp Stockholm Gullmarsplan Kuundvagnsgarage</v>
      </c>
      <c r="C446" s="43">
        <v>148</v>
      </c>
      <c r="D446" s="45">
        <f t="shared" ca="1" si="18"/>
        <v>25</v>
      </c>
      <c r="E446" s="46">
        <f t="shared" ca="1" si="19"/>
        <v>2</v>
      </c>
      <c r="F446" s="46" t="str">
        <f t="shared" si="20"/>
        <v>Kuundvagnsgarage</v>
      </c>
      <c r="G446" s="46" t="s">
        <v>2469</v>
      </c>
    </row>
    <row r="447" spans="1:7">
      <c r="A447" s="43" t="s">
        <v>2460</v>
      </c>
      <c r="B447" s="50" t="str">
        <f>CONCATENATE(VLOOKUP(C447,'Butiksobjekt steg 2'!A:B,2,FALSE)," ",A447)</f>
        <v>Hemköp Stockholm Gärdet Pantkärl</v>
      </c>
      <c r="C447" s="43">
        <v>149</v>
      </c>
      <c r="D447" s="45">
        <f t="shared" ca="1" si="18"/>
        <v>34</v>
      </c>
      <c r="E447" s="46">
        <f t="shared" ca="1" si="19"/>
        <v>3</v>
      </c>
      <c r="F447" s="46" t="str">
        <f t="shared" si="20"/>
        <v>Pantkärl</v>
      </c>
      <c r="G447" s="46" t="s">
        <v>2470</v>
      </c>
    </row>
    <row r="448" spans="1:7">
      <c r="A448" s="43" t="s">
        <v>2461</v>
      </c>
      <c r="B448" s="50" t="str">
        <f>CONCATENATE(VLOOKUP(C448,'Butiksobjekt steg 2'!A:B,2,FALSE)," ",A448)</f>
        <v>Hemköp Stockholm Gärdet Matavfallskärl</v>
      </c>
      <c r="C448" s="43">
        <v>149</v>
      </c>
      <c r="D448" s="45">
        <f t="shared" ca="1" si="18"/>
        <v>44</v>
      </c>
      <c r="E448" s="46">
        <f t="shared" ca="1" si="19"/>
        <v>4</v>
      </c>
      <c r="F448" s="46" t="str">
        <f t="shared" si="20"/>
        <v>Matavfallskärl</v>
      </c>
      <c r="G448" s="46" t="s">
        <v>2468</v>
      </c>
    </row>
    <row r="449" spans="1:7">
      <c r="A449" s="43" t="s">
        <v>2462</v>
      </c>
      <c r="B449" s="50" t="str">
        <f>CONCATENATE(VLOOKUP(C449,'Butiksobjekt steg 2'!A:B,2,FALSE)," ",A449)</f>
        <v>Hemköp Stockholm Gärdet Kuundvagnsgarage</v>
      </c>
      <c r="C449" s="43">
        <v>149</v>
      </c>
      <c r="D449" s="45">
        <f t="shared" ca="1" si="18"/>
        <v>25</v>
      </c>
      <c r="E449" s="46">
        <f t="shared" ca="1" si="19"/>
        <v>4</v>
      </c>
      <c r="F449" s="46" t="str">
        <f t="shared" si="20"/>
        <v>Kuundvagnsgarage</v>
      </c>
      <c r="G449" s="46" t="s">
        <v>2469</v>
      </c>
    </row>
    <row r="450" spans="1:7">
      <c r="A450" s="43" t="s">
        <v>2460</v>
      </c>
      <c r="B450" s="50" t="str">
        <f>CONCATENATE(VLOOKUP(C450,'Butiksobjekt steg 2'!A:B,2,FALSE)," ",A450)</f>
        <v>Hemköp Stockholm Hässelby Strand Pantkärl</v>
      </c>
      <c r="C450" s="43">
        <v>150</v>
      </c>
      <c r="D450" s="45">
        <f t="shared" ca="1" si="18"/>
        <v>22</v>
      </c>
      <c r="E450" s="46">
        <f t="shared" ca="1" si="19"/>
        <v>2</v>
      </c>
      <c r="F450" s="46" t="str">
        <f t="shared" si="20"/>
        <v>Pantkärl</v>
      </c>
      <c r="G450" s="46" t="s">
        <v>2470</v>
      </c>
    </row>
    <row r="451" spans="1:7">
      <c r="A451" s="43" t="s">
        <v>2461</v>
      </c>
      <c r="B451" s="50" t="str">
        <f>CONCATENATE(VLOOKUP(C451,'Butiksobjekt steg 2'!A:B,2,FALSE)," ",A451)</f>
        <v>Hemköp Stockholm Hässelby Strand Matavfallskärl</v>
      </c>
      <c r="C451" s="43">
        <v>150</v>
      </c>
      <c r="D451" s="45">
        <f t="shared" ca="1" si="18"/>
        <v>23</v>
      </c>
      <c r="E451" s="46">
        <f t="shared" ca="1" si="19"/>
        <v>5</v>
      </c>
      <c r="F451" s="46" t="str">
        <f t="shared" si="20"/>
        <v>Matavfallskärl</v>
      </c>
      <c r="G451" s="46" t="s">
        <v>2468</v>
      </c>
    </row>
    <row r="452" spans="1:7">
      <c r="A452" s="43" t="s">
        <v>2462</v>
      </c>
      <c r="B452" s="50" t="str">
        <f>CONCATENATE(VLOOKUP(C452,'Butiksobjekt steg 2'!A:B,2,FALSE)," ",A452)</f>
        <v>Hemköp Stockholm Hässelby Strand Kuundvagnsgarage</v>
      </c>
      <c r="C452" s="43">
        <v>150</v>
      </c>
      <c r="D452" s="45">
        <f t="shared" ref="D452:D515" ca="1" si="21">RANDBETWEEN(8,53)</f>
        <v>53</v>
      </c>
      <c r="E452" s="46">
        <f t="shared" ref="E452:E515" ca="1" si="22">RANDBETWEEN(1,5)</f>
        <v>5</v>
      </c>
      <c r="F452" s="46" t="str">
        <f t="shared" si="20"/>
        <v>Kuundvagnsgarage</v>
      </c>
      <c r="G452" s="46" t="s">
        <v>2469</v>
      </c>
    </row>
    <row r="453" spans="1:7">
      <c r="A453" s="43" t="s">
        <v>2460</v>
      </c>
      <c r="B453" s="50" t="str">
        <f>CONCATENATE(VLOOKUP(C453,'Butiksobjekt steg 2'!A:B,2,FALSE)," ",A453)</f>
        <v>Hemköp Stockholm Jungfrugatan (fd.Matglädjen) Pantkärl</v>
      </c>
      <c r="C453" s="43">
        <v>151</v>
      </c>
      <c r="D453" s="45">
        <f t="shared" ca="1" si="21"/>
        <v>23</v>
      </c>
      <c r="E453" s="46">
        <f t="shared" ca="1" si="22"/>
        <v>4</v>
      </c>
      <c r="F453" s="46" t="str">
        <f t="shared" ref="F453:F516" si="23">A453</f>
        <v>Pantkärl</v>
      </c>
      <c r="G453" s="46" t="s">
        <v>2470</v>
      </c>
    </row>
    <row r="454" spans="1:7">
      <c r="A454" s="43" t="s">
        <v>2461</v>
      </c>
      <c r="B454" s="50" t="str">
        <f>CONCATENATE(VLOOKUP(C454,'Butiksobjekt steg 2'!A:B,2,FALSE)," ",A454)</f>
        <v>Hemköp Stockholm Jungfrugatan (fd.Matglädjen) Matavfallskärl</v>
      </c>
      <c r="C454" s="43">
        <v>151</v>
      </c>
      <c r="D454" s="45">
        <f t="shared" ca="1" si="21"/>
        <v>52</v>
      </c>
      <c r="E454" s="46">
        <f t="shared" ca="1" si="22"/>
        <v>3</v>
      </c>
      <c r="F454" s="46" t="str">
        <f t="shared" si="23"/>
        <v>Matavfallskärl</v>
      </c>
      <c r="G454" s="46" t="s">
        <v>2468</v>
      </c>
    </row>
    <row r="455" spans="1:7">
      <c r="A455" s="43" t="s">
        <v>2462</v>
      </c>
      <c r="B455" s="50" t="str">
        <f>CONCATENATE(VLOOKUP(C455,'Butiksobjekt steg 2'!A:B,2,FALSE)," ",A455)</f>
        <v>Hemköp Stockholm Jungfrugatan (fd.Matglädjen) Kuundvagnsgarage</v>
      </c>
      <c r="C455" s="43">
        <v>151</v>
      </c>
      <c r="D455" s="45">
        <f t="shared" ca="1" si="21"/>
        <v>46</v>
      </c>
      <c r="E455" s="46">
        <f t="shared" ca="1" si="22"/>
        <v>3</v>
      </c>
      <c r="F455" s="46" t="str">
        <f t="shared" si="23"/>
        <v>Kuundvagnsgarage</v>
      </c>
      <c r="G455" s="46" t="s">
        <v>2469</v>
      </c>
    </row>
    <row r="456" spans="1:7">
      <c r="A456" s="43" t="s">
        <v>2460</v>
      </c>
      <c r="B456" s="50" t="str">
        <f>CONCATENATE(VLOOKUP(C456,'Butiksobjekt steg 2'!A:B,2,FALSE)," ",A456)</f>
        <v>Hemköp Stockholm Kälvesta Pantkärl</v>
      </c>
      <c r="C456" s="43">
        <v>152</v>
      </c>
      <c r="D456" s="45">
        <f t="shared" ca="1" si="21"/>
        <v>41</v>
      </c>
      <c r="E456" s="46">
        <f t="shared" ca="1" si="22"/>
        <v>5</v>
      </c>
      <c r="F456" s="46" t="str">
        <f t="shared" si="23"/>
        <v>Pantkärl</v>
      </c>
      <c r="G456" s="46" t="s">
        <v>2470</v>
      </c>
    </row>
    <row r="457" spans="1:7">
      <c r="A457" s="43" t="s">
        <v>2461</v>
      </c>
      <c r="B457" s="50" t="str">
        <f>CONCATENATE(VLOOKUP(C457,'Butiksobjekt steg 2'!A:B,2,FALSE)," ",A457)</f>
        <v>Hemköp Stockholm Kälvesta Matavfallskärl</v>
      </c>
      <c r="C457" s="43">
        <v>152</v>
      </c>
      <c r="D457" s="45">
        <f t="shared" ca="1" si="21"/>
        <v>34</v>
      </c>
      <c r="E457" s="46">
        <f t="shared" ca="1" si="22"/>
        <v>2</v>
      </c>
      <c r="F457" s="46" t="str">
        <f t="shared" si="23"/>
        <v>Matavfallskärl</v>
      </c>
      <c r="G457" s="46" t="s">
        <v>2468</v>
      </c>
    </row>
    <row r="458" spans="1:7">
      <c r="A458" s="43" t="s">
        <v>2462</v>
      </c>
      <c r="B458" s="50" t="str">
        <f>CONCATENATE(VLOOKUP(C458,'Butiksobjekt steg 2'!A:B,2,FALSE)," ",A458)</f>
        <v>Hemköp Stockholm Kälvesta Kuundvagnsgarage</v>
      </c>
      <c r="C458" s="43">
        <v>152</v>
      </c>
      <c r="D458" s="45">
        <f t="shared" ca="1" si="21"/>
        <v>52</v>
      </c>
      <c r="E458" s="46">
        <f t="shared" ca="1" si="22"/>
        <v>4</v>
      </c>
      <c r="F458" s="46" t="str">
        <f t="shared" si="23"/>
        <v>Kuundvagnsgarage</v>
      </c>
      <c r="G458" s="46" t="s">
        <v>2469</v>
      </c>
    </row>
    <row r="459" spans="1:7">
      <c r="A459" s="43" t="s">
        <v>2460</v>
      </c>
      <c r="B459" s="50" t="str">
        <f>CONCATENATE(VLOOKUP(C459,'Butiksobjekt steg 2'!A:B,2,FALSE)," ",A459)</f>
        <v>Hemköp Stockholm Matpressen Pantkärl</v>
      </c>
      <c r="C459" s="43">
        <v>153</v>
      </c>
      <c r="D459" s="45">
        <f t="shared" ca="1" si="21"/>
        <v>14</v>
      </c>
      <c r="E459" s="46">
        <f t="shared" ca="1" si="22"/>
        <v>1</v>
      </c>
      <c r="F459" s="46" t="str">
        <f t="shared" si="23"/>
        <v>Pantkärl</v>
      </c>
      <c r="G459" s="46" t="s">
        <v>2470</v>
      </c>
    </row>
    <row r="460" spans="1:7">
      <c r="A460" s="43" t="s">
        <v>2461</v>
      </c>
      <c r="B460" s="50" t="str">
        <f>CONCATENATE(VLOOKUP(C460,'Butiksobjekt steg 2'!A:B,2,FALSE)," ",A460)</f>
        <v>Hemköp Stockholm Matpressen Matavfallskärl</v>
      </c>
      <c r="C460" s="43">
        <v>153</v>
      </c>
      <c r="D460" s="45">
        <f t="shared" ca="1" si="21"/>
        <v>33</v>
      </c>
      <c r="E460" s="46">
        <f t="shared" ca="1" si="22"/>
        <v>3</v>
      </c>
      <c r="F460" s="46" t="str">
        <f t="shared" si="23"/>
        <v>Matavfallskärl</v>
      </c>
      <c r="G460" s="46" t="s">
        <v>2468</v>
      </c>
    </row>
    <row r="461" spans="1:7">
      <c r="A461" s="43" t="s">
        <v>2462</v>
      </c>
      <c r="B461" s="50" t="str">
        <f>CONCATENATE(VLOOKUP(C461,'Butiksobjekt steg 2'!A:B,2,FALSE)," ",A461)</f>
        <v>Hemköp Stockholm Matpressen Kuundvagnsgarage</v>
      </c>
      <c r="C461" s="43">
        <v>153</v>
      </c>
      <c r="D461" s="45">
        <f t="shared" ca="1" si="21"/>
        <v>39</v>
      </c>
      <c r="E461" s="46">
        <f t="shared" ca="1" si="22"/>
        <v>4</v>
      </c>
      <c r="F461" s="46" t="str">
        <f t="shared" si="23"/>
        <v>Kuundvagnsgarage</v>
      </c>
      <c r="G461" s="46" t="s">
        <v>2469</v>
      </c>
    </row>
    <row r="462" spans="1:7">
      <c r="A462" s="43" t="s">
        <v>2460</v>
      </c>
      <c r="B462" s="50" t="str">
        <f>CONCATENATE(VLOOKUP(C462,'Butiksobjekt steg 2'!A:B,2,FALSE)," ",A462)</f>
        <v>Hemköp Stockholm Odenplan Pantkärl</v>
      </c>
      <c r="C462" s="43">
        <v>154</v>
      </c>
      <c r="D462" s="45">
        <f t="shared" ca="1" si="21"/>
        <v>33</v>
      </c>
      <c r="E462" s="46">
        <f t="shared" ca="1" si="22"/>
        <v>5</v>
      </c>
      <c r="F462" s="46" t="str">
        <f t="shared" si="23"/>
        <v>Pantkärl</v>
      </c>
      <c r="G462" s="46" t="s">
        <v>2470</v>
      </c>
    </row>
    <row r="463" spans="1:7">
      <c r="A463" s="43" t="s">
        <v>2461</v>
      </c>
      <c r="B463" s="50" t="str">
        <f>CONCATENATE(VLOOKUP(C463,'Butiksobjekt steg 2'!A:B,2,FALSE)," ",A463)</f>
        <v>Hemköp Stockholm Odenplan Matavfallskärl</v>
      </c>
      <c r="C463" s="43">
        <v>154</v>
      </c>
      <c r="D463" s="45">
        <f t="shared" ca="1" si="21"/>
        <v>45</v>
      </c>
      <c r="E463" s="46">
        <f t="shared" ca="1" si="22"/>
        <v>1</v>
      </c>
      <c r="F463" s="46" t="str">
        <f t="shared" si="23"/>
        <v>Matavfallskärl</v>
      </c>
      <c r="G463" s="46" t="s">
        <v>2468</v>
      </c>
    </row>
    <row r="464" spans="1:7">
      <c r="A464" s="43" t="s">
        <v>2462</v>
      </c>
      <c r="B464" s="50" t="str">
        <f>CONCATENATE(VLOOKUP(C464,'Butiksobjekt steg 2'!A:B,2,FALSE)," ",A464)</f>
        <v>Hemköp Stockholm Odenplan Kuundvagnsgarage</v>
      </c>
      <c r="C464" s="43">
        <v>154</v>
      </c>
      <c r="D464" s="45">
        <f t="shared" ca="1" si="21"/>
        <v>8</v>
      </c>
      <c r="E464" s="46">
        <f t="shared" ca="1" si="22"/>
        <v>2</v>
      </c>
      <c r="F464" s="46" t="str">
        <f t="shared" si="23"/>
        <v>Kuundvagnsgarage</v>
      </c>
      <c r="G464" s="46" t="s">
        <v>2469</v>
      </c>
    </row>
    <row r="465" spans="1:7">
      <c r="A465" s="43" t="s">
        <v>2460</v>
      </c>
      <c r="B465" s="50" t="str">
        <f>CONCATENATE(VLOOKUP(C465,'Butiksobjekt steg 2'!A:B,2,FALSE)," ",A465)</f>
        <v>Hemköp Stockholm Råcksta  Pantkärl</v>
      </c>
      <c r="C465" s="43">
        <v>155</v>
      </c>
      <c r="D465" s="45">
        <f t="shared" ca="1" si="21"/>
        <v>24</v>
      </c>
      <c r="E465" s="46">
        <f t="shared" ca="1" si="22"/>
        <v>1</v>
      </c>
      <c r="F465" s="46" t="str">
        <f t="shared" si="23"/>
        <v>Pantkärl</v>
      </c>
      <c r="G465" s="46" t="s">
        <v>2470</v>
      </c>
    </row>
    <row r="466" spans="1:7">
      <c r="A466" s="43" t="s">
        <v>2461</v>
      </c>
      <c r="B466" s="50" t="str">
        <f>CONCATENATE(VLOOKUP(C466,'Butiksobjekt steg 2'!A:B,2,FALSE)," ",A466)</f>
        <v>Hemköp Stockholm Råcksta  Matavfallskärl</v>
      </c>
      <c r="C466" s="43">
        <v>155</v>
      </c>
      <c r="D466" s="45">
        <f t="shared" ca="1" si="21"/>
        <v>37</v>
      </c>
      <c r="E466" s="46">
        <f t="shared" ca="1" si="22"/>
        <v>5</v>
      </c>
      <c r="F466" s="46" t="str">
        <f t="shared" si="23"/>
        <v>Matavfallskärl</v>
      </c>
      <c r="G466" s="46" t="s">
        <v>2468</v>
      </c>
    </row>
    <row r="467" spans="1:7">
      <c r="A467" s="43" t="s">
        <v>2462</v>
      </c>
      <c r="B467" s="50" t="str">
        <f>CONCATENATE(VLOOKUP(C467,'Butiksobjekt steg 2'!A:B,2,FALSE)," ",A467)</f>
        <v>Hemköp Stockholm Råcksta  Kuundvagnsgarage</v>
      </c>
      <c r="C467" s="43">
        <v>155</v>
      </c>
      <c r="D467" s="45">
        <f t="shared" ca="1" si="21"/>
        <v>45</v>
      </c>
      <c r="E467" s="46">
        <f t="shared" ca="1" si="22"/>
        <v>3</v>
      </c>
      <c r="F467" s="46" t="str">
        <f t="shared" si="23"/>
        <v>Kuundvagnsgarage</v>
      </c>
      <c r="G467" s="46" t="s">
        <v>2469</v>
      </c>
    </row>
    <row r="468" spans="1:7">
      <c r="A468" s="43" t="s">
        <v>2460</v>
      </c>
      <c r="B468" s="50" t="str">
        <f>CONCATENATE(VLOOKUP(C468,'Butiksobjekt steg 2'!A:B,2,FALSE)," ",A468)</f>
        <v>Hemköp Stockholm Skanstull Pantkärl</v>
      </c>
      <c r="C468" s="43">
        <v>156</v>
      </c>
      <c r="D468" s="45">
        <f t="shared" ca="1" si="21"/>
        <v>45</v>
      </c>
      <c r="E468" s="46">
        <f t="shared" ca="1" si="22"/>
        <v>3</v>
      </c>
      <c r="F468" s="46" t="str">
        <f t="shared" si="23"/>
        <v>Pantkärl</v>
      </c>
      <c r="G468" s="46" t="s">
        <v>2470</v>
      </c>
    </row>
    <row r="469" spans="1:7">
      <c r="A469" s="43" t="s">
        <v>2461</v>
      </c>
      <c r="B469" s="50" t="str">
        <f>CONCATENATE(VLOOKUP(C469,'Butiksobjekt steg 2'!A:B,2,FALSE)," ",A469)</f>
        <v>Hemköp Stockholm Skanstull Matavfallskärl</v>
      </c>
      <c r="C469" s="43">
        <v>156</v>
      </c>
      <c r="D469" s="45">
        <f t="shared" ca="1" si="21"/>
        <v>25</v>
      </c>
      <c r="E469" s="46">
        <f t="shared" ca="1" si="22"/>
        <v>2</v>
      </c>
      <c r="F469" s="46" t="str">
        <f t="shared" si="23"/>
        <v>Matavfallskärl</v>
      </c>
      <c r="G469" s="46" t="s">
        <v>2468</v>
      </c>
    </row>
    <row r="470" spans="1:7">
      <c r="A470" s="43" t="s">
        <v>2462</v>
      </c>
      <c r="B470" s="50" t="str">
        <f>CONCATENATE(VLOOKUP(C470,'Butiksobjekt steg 2'!A:B,2,FALSE)," ",A470)</f>
        <v>Hemköp Stockholm Skanstull Kuundvagnsgarage</v>
      </c>
      <c r="C470" s="43">
        <v>156</v>
      </c>
      <c r="D470" s="45">
        <f t="shared" ca="1" si="21"/>
        <v>46</v>
      </c>
      <c r="E470" s="46">
        <f t="shared" ca="1" si="22"/>
        <v>5</v>
      </c>
      <c r="F470" s="46" t="str">
        <f t="shared" si="23"/>
        <v>Kuundvagnsgarage</v>
      </c>
      <c r="G470" s="46" t="s">
        <v>2469</v>
      </c>
    </row>
    <row r="471" spans="1:7">
      <c r="A471" s="43" t="s">
        <v>2460</v>
      </c>
      <c r="B471" s="50" t="str">
        <f>CONCATENATE(VLOOKUP(C471,'Butiksobjekt steg 2'!A:B,2,FALSE)," ",A471)</f>
        <v>Hemköp Stockholm Skarpnäck Pantkärl</v>
      </c>
      <c r="C471" s="43">
        <v>157</v>
      </c>
      <c r="D471" s="45">
        <f t="shared" ca="1" si="21"/>
        <v>13</v>
      </c>
      <c r="E471" s="46">
        <f t="shared" ca="1" si="22"/>
        <v>5</v>
      </c>
      <c r="F471" s="46" t="str">
        <f t="shared" si="23"/>
        <v>Pantkärl</v>
      </c>
      <c r="G471" s="46" t="s">
        <v>2470</v>
      </c>
    </row>
    <row r="472" spans="1:7">
      <c r="A472" s="43" t="s">
        <v>2461</v>
      </c>
      <c r="B472" s="50" t="str">
        <f>CONCATENATE(VLOOKUP(C472,'Butiksobjekt steg 2'!A:B,2,FALSE)," ",A472)</f>
        <v>Hemköp Stockholm Skarpnäck Matavfallskärl</v>
      </c>
      <c r="C472" s="43">
        <v>157</v>
      </c>
      <c r="D472" s="45">
        <f t="shared" ca="1" si="21"/>
        <v>45</v>
      </c>
      <c r="E472" s="46">
        <f t="shared" ca="1" si="22"/>
        <v>2</v>
      </c>
      <c r="F472" s="46" t="str">
        <f t="shared" si="23"/>
        <v>Matavfallskärl</v>
      </c>
      <c r="G472" s="46" t="s">
        <v>2468</v>
      </c>
    </row>
    <row r="473" spans="1:7">
      <c r="A473" s="43" t="s">
        <v>2462</v>
      </c>
      <c r="B473" s="50" t="str">
        <f>CONCATENATE(VLOOKUP(C473,'Butiksobjekt steg 2'!A:B,2,FALSE)," ",A473)</f>
        <v>Hemköp Stockholm Skarpnäck Kuundvagnsgarage</v>
      </c>
      <c r="C473" s="43">
        <v>157</v>
      </c>
      <c r="D473" s="45">
        <f t="shared" ca="1" si="21"/>
        <v>22</v>
      </c>
      <c r="E473" s="46">
        <f t="shared" ca="1" si="22"/>
        <v>1</v>
      </c>
      <c r="F473" s="46" t="str">
        <f t="shared" si="23"/>
        <v>Kuundvagnsgarage</v>
      </c>
      <c r="G473" s="46" t="s">
        <v>2469</v>
      </c>
    </row>
    <row r="474" spans="1:7">
      <c r="A474" s="43" t="s">
        <v>2460</v>
      </c>
      <c r="B474" s="50" t="str">
        <f>CONCATENATE(VLOOKUP(C474,'Butiksobjekt steg 2'!A:B,2,FALSE)," ",A474)</f>
        <v>Hemköp Stockholm Sköndal C Pantkärl</v>
      </c>
      <c r="C474" s="43">
        <v>158</v>
      </c>
      <c r="D474" s="45">
        <f t="shared" ca="1" si="21"/>
        <v>31</v>
      </c>
      <c r="E474" s="46">
        <f t="shared" ca="1" si="22"/>
        <v>3</v>
      </c>
      <c r="F474" s="46" t="str">
        <f t="shared" si="23"/>
        <v>Pantkärl</v>
      </c>
      <c r="G474" s="46" t="s">
        <v>2470</v>
      </c>
    </row>
    <row r="475" spans="1:7">
      <c r="A475" s="43" t="s">
        <v>2461</v>
      </c>
      <c r="B475" s="50" t="str">
        <f>CONCATENATE(VLOOKUP(C475,'Butiksobjekt steg 2'!A:B,2,FALSE)," ",A475)</f>
        <v>Hemköp Stockholm Sköndal C Matavfallskärl</v>
      </c>
      <c r="C475" s="43">
        <v>158</v>
      </c>
      <c r="D475" s="45">
        <f t="shared" ca="1" si="21"/>
        <v>53</v>
      </c>
      <c r="E475" s="46">
        <f t="shared" ca="1" si="22"/>
        <v>1</v>
      </c>
      <c r="F475" s="46" t="str">
        <f t="shared" si="23"/>
        <v>Matavfallskärl</v>
      </c>
      <c r="G475" s="46" t="s">
        <v>2468</v>
      </c>
    </row>
    <row r="476" spans="1:7">
      <c r="A476" s="43" t="s">
        <v>2462</v>
      </c>
      <c r="B476" s="50" t="str">
        <f>CONCATENATE(VLOOKUP(C476,'Butiksobjekt steg 2'!A:B,2,FALSE)," ",A476)</f>
        <v>Hemköp Stockholm Sköndal C Kuundvagnsgarage</v>
      </c>
      <c r="C476" s="43">
        <v>158</v>
      </c>
      <c r="D476" s="45">
        <f t="shared" ca="1" si="21"/>
        <v>13</v>
      </c>
      <c r="E476" s="46">
        <f t="shared" ca="1" si="22"/>
        <v>1</v>
      </c>
      <c r="F476" s="46" t="str">
        <f t="shared" si="23"/>
        <v>Kuundvagnsgarage</v>
      </c>
      <c r="G476" s="46" t="s">
        <v>2469</v>
      </c>
    </row>
    <row r="477" spans="1:7">
      <c r="A477" s="43" t="s">
        <v>2460</v>
      </c>
      <c r="B477" s="50" t="str">
        <f>CONCATENATE(VLOOKUP(C477,'Butiksobjekt steg 2'!A:B,2,FALSE)," ",A477)</f>
        <v>Hemköp Stockholm Stadshagen Pantkärl</v>
      </c>
      <c r="C477" s="43">
        <v>159</v>
      </c>
      <c r="D477" s="45">
        <f t="shared" ca="1" si="21"/>
        <v>11</v>
      </c>
      <c r="E477" s="46">
        <f t="shared" ca="1" si="22"/>
        <v>2</v>
      </c>
      <c r="F477" s="46" t="str">
        <f t="shared" si="23"/>
        <v>Pantkärl</v>
      </c>
      <c r="G477" s="46" t="s">
        <v>2470</v>
      </c>
    </row>
    <row r="478" spans="1:7">
      <c r="A478" s="43" t="s">
        <v>2461</v>
      </c>
      <c r="B478" s="50" t="str">
        <f>CONCATENATE(VLOOKUP(C478,'Butiksobjekt steg 2'!A:B,2,FALSE)," ",A478)</f>
        <v>Hemköp Stockholm Stadshagen Matavfallskärl</v>
      </c>
      <c r="C478" s="43">
        <v>159</v>
      </c>
      <c r="D478" s="45">
        <f t="shared" ca="1" si="21"/>
        <v>21</v>
      </c>
      <c r="E478" s="46">
        <f t="shared" ca="1" si="22"/>
        <v>2</v>
      </c>
      <c r="F478" s="46" t="str">
        <f t="shared" si="23"/>
        <v>Matavfallskärl</v>
      </c>
      <c r="G478" s="46" t="s">
        <v>2468</v>
      </c>
    </row>
    <row r="479" spans="1:7">
      <c r="A479" s="43" t="s">
        <v>2462</v>
      </c>
      <c r="B479" s="50" t="str">
        <f>CONCATENATE(VLOOKUP(C479,'Butiksobjekt steg 2'!A:B,2,FALSE)," ",A479)</f>
        <v>Hemköp Stockholm Stadshagen Kuundvagnsgarage</v>
      </c>
      <c r="C479" s="43">
        <v>159</v>
      </c>
      <c r="D479" s="45">
        <f t="shared" ca="1" si="21"/>
        <v>11</v>
      </c>
      <c r="E479" s="46">
        <f t="shared" ca="1" si="22"/>
        <v>5</v>
      </c>
      <c r="F479" s="46" t="str">
        <f t="shared" si="23"/>
        <v>Kuundvagnsgarage</v>
      </c>
      <c r="G479" s="46" t="s">
        <v>2469</v>
      </c>
    </row>
    <row r="480" spans="1:7">
      <c r="A480" s="43" t="s">
        <v>2460</v>
      </c>
      <c r="B480" s="50" t="str">
        <f>CONCATENATE(VLOOKUP(C480,'Butiksobjekt steg 2'!A:B,2,FALSE)," ",A480)</f>
        <v>Hemköp Stockholm Torsplan Pantkärl</v>
      </c>
      <c r="C480" s="43">
        <v>160</v>
      </c>
      <c r="D480" s="45">
        <f t="shared" ca="1" si="21"/>
        <v>14</v>
      </c>
      <c r="E480" s="46">
        <f t="shared" ca="1" si="22"/>
        <v>2</v>
      </c>
      <c r="F480" s="46" t="str">
        <f t="shared" si="23"/>
        <v>Pantkärl</v>
      </c>
      <c r="G480" s="46" t="s">
        <v>2470</v>
      </c>
    </row>
    <row r="481" spans="1:7">
      <c r="A481" s="43" t="s">
        <v>2461</v>
      </c>
      <c r="B481" s="50" t="str">
        <f>CONCATENATE(VLOOKUP(C481,'Butiksobjekt steg 2'!A:B,2,FALSE)," ",A481)</f>
        <v>Hemköp Stockholm Torsplan Matavfallskärl</v>
      </c>
      <c r="C481" s="43">
        <v>160</v>
      </c>
      <c r="D481" s="45">
        <f t="shared" ca="1" si="21"/>
        <v>47</v>
      </c>
      <c r="E481" s="46">
        <f t="shared" ca="1" si="22"/>
        <v>5</v>
      </c>
      <c r="F481" s="46" t="str">
        <f t="shared" si="23"/>
        <v>Matavfallskärl</v>
      </c>
      <c r="G481" s="46" t="s">
        <v>2468</v>
      </c>
    </row>
    <row r="482" spans="1:7">
      <c r="A482" s="43" t="s">
        <v>2462</v>
      </c>
      <c r="B482" s="50" t="str">
        <f>CONCATENATE(VLOOKUP(C482,'Butiksobjekt steg 2'!A:B,2,FALSE)," ",A482)</f>
        <v>Hemköp Stockholm Torsplan Kuundvagnsgarage</v>
      </c>
      <c r="C482" s="43">
        <v>160</v>
      </c>
      <c r="D482" s="45">
        <f t="shared" ca="1" si="21"/>
        <v>8</v>
      </c>
      <c r="E482" s="46">
        <f t="shared" ca="1" si="22"/>
        <v>1</v>
      </c>
      <c r="F482" s="46" t="str">
        <f t="shared" si="23"/>
        <v>Kuundvagnsgarage</v>
      </c>
      <c r="G482" s="46" t="s">
        <v>2469</v>
      </c>
    </row>
    <row r="483" spans="1:7">
      <c r="A483" s="43" t="s">
        <v>2460</v>
      </c>
      <c r="B483" s="50" t="str">
        <f>CONCATENATE(VLOOKUP(C483,'Butiksobjekt steg 2'!A:B,2,FALSE)," ",A483)</f>
        <v>Hemköp Stockholm Vällingby C Pantkärl</v>
      </c>
      <c r="C483" s="43">
        <v>161</v>
      </c>
      <c r="D483" s="45">
        <f t="shared" ca="1" si="21"/>
        <v>22</v>
      </c>
      <c r="E483" s="46">
        <f t="shared" ca="1" si="22"/>
        <v>5</v>
      </c>
      <c r="F483" s="46" t="str">
        <f t="shared" si="23"/>
        <v>Pantkärl</v>
      </c>
      <c r="G483" s="46" t="s">
        <v>2470</v>
      </c>
    </row>
    <row r="484" spans="1:7">
      <c r="A484" s="43" t="s">
        <v>2461</v>
      </c>
      <c r="B484" s="50" t="str">
        <f>CONCATENATE(VLOOKUP(C484,'Butiksobjekt steg 2'!A:B,2,FALSE)," ",A484)</f>
        <v>Hemköp Stockholm Vällingby C Matavfallskärl</v>
      </c>
      <c r="C484" s="43">
        <v>161</v>
      </c>
      <c r="D484" s="45">
        <f t="shared" ca="1" si="21"/>
        <v>12</v>
      </c>
      <c r="E484" s="46">
        <f t="shared" ca="1" si="22"/>
        <v>2</v>
      </c>
      <c r="F484" s="46" t="str">
        <f t="shared" si="23"/>
        <v>Matavfallskärl</v>
      </c>
      <c r="G484" s="46" t="s">
        <v>2468</v>
      </c>
    </row>
    <row r="485" spans="1:7">
      <c r="A485" s="43" t="s">
        <v>2462</v>
      </c>
      <c r="B485" s="50" t="str">
        <f>CONCATENATE(VLOOKUP(C485,'Butiksobjekt steg 2'!A:B,2,FALSE)," ",A485)</f>
        <v>Hemköp Stockholm Vällingby C Kuundvagnsgarage</v>
      </c>
      <c r="C485" s="43">
        <v>161</v>
      </c>
      <c r="D485" s="45">
        <f t="shared" ca="1" si="21"/>
        <v>35</v>
      </c>
      <c r="E485" s="46">
        <f t="shared" ca="1" si="22"/>
        <v>5</v>
      </c>
      <c r="F485" s="46" t="str">
        <f t="shared" si="23"/>
        <v>Kuundvagnsgarage</v>
      </c>
      <c r="G485" s="46" t="s">
        <v>2469</v>
      </c>
    </row>
    <row r="486" spans="1:7">
      <c r="A486" s="43" t="s">
        <v>2460</v>
      </c>
      <c r="B486" s="50" t="str">
        <f>CONCATENATE(VLOOKUP(C486,'Butiksobjekt steg 2'!A:B,2,FALSE)," ",A486)</f>
        <v>Hemköp Stockholm Västertorp Pantkärl</v>
      </c>
      <c r="C486" s="43">
        <v>162</v>
      </c>
      <c r="D486" s="45">
        <f t="shared" ca="1" si="21"/>
        <v>40</v>
      </c>
      <c r="E486" s="46">
        <f t="shared" ca="1" si="22"/>
        <v>1</v>
      </c>
      <c r="F486" s="46" t="str">
        <f t="shared" si="23"/>
        <v>Pantkärl</v>
      </c>
      <c r="G486" s="46" t="s">
        <v>2470</v>
      </c>
    </row>
    <row r="487" spans="1:7">
      <c r="A487" s="43" t="s">
        <v>2461</v>
      </c>
      <c r="B487" s="50" t="str">
        <f>CONCATENATE(VLOOKUP(C487,'Butiksobjekt steg 2'!A:B,2,FALSE)," ",A487)</f>
        <v>Hemköp Stockholm Västertorp Matavfallskärl</v>
      </c>
      <c r="C487" s="43">
        <v>162</v>
      </c>
      <c r="D487" s="45">
        <f t="shared" ca="1" si="21"/>
        <v>11</v>
      </c>
      <c r="E487" s="46">
        <f t="shared" ca="1" si="22"/>
        <v>2</v>
      </c>
      <c r="F487" s="46" t="str">
        <f t="shared" si="23"/>
        <v>Matavfallskärl</v>
      </c>
      <c r="G487" s="46" t="s">
        <v>2468</v>
      </c>
    </row>
    <row r="488" spans="1:7">
      <c r="A488" s="43" t="s">
        <v>2462</v>
      </c>
      <c r="B488" s="50" t="str">
        <f>CONCATENATE(VLOOKUP(C488,'Butiksobjekt steg 2'!A:B,2,FALSE)," ",A488)</f>
        <v>Hemköp Stockholm Västertorp Kuundvagnsgarage</v>
      </c>
      <c r="C488" s="43">
        <v>162</v>
      </c>
      <c r="D488" s="45">
        <f t="shared" ca="1" si="21"/>
        <v>49</v>
      </c>
      <c r="E488" s="46">
        <f t="shared" ca="1" si="22"/>
        <v>5</v>
      </c>
      <c r="F488" s="46" t="str">
        <f t="shared" si="23"/>
        <v>Kuundvagnsgarage</v>
      </c>
      <c r="G488" s="46" t="s">
        <v>2469</v>
      </c>
    </row>
    <row r="489" spans="1:7">
      <c r="A489" s="43" t="s">
        <v>2460</v>
      </c>
      <c r="B489" s="50" t="str">
        <f>CONCATENATE(VLOOKUP(C489,'Butiksobjekt steg 2'!A:B,2,FALSE)," ",A489)</f>
        <v>Hemköp Stockholm Wasahallen Pantkärl</v>
      </c>
      <c r="C489" s="43">
        <v>163</v>
      </c>
      <c r="D489" s="45">
        <f t="shared" ca="1" si="21"/>
        <v>23</v>
      </c>
      <c r="E489" s="46">
        <f t="shared" ca="1" si="22"/>
        <v>2</v>
      </c>
      <c r="F489" s="46" t="str">
        <f t="shared" si="23"/>
        <v>Pantkärl</v>
      </c>
      <c r="G489" s="46" t="s">
        <v>2470</v>
      </c>
    </row>
    <row r="490" spans="1:7">
      <c r="A490" s="43" t="s">
        <v>2461</v>
      </c>
      <c r="B490" s="50" t="str">
        <f>CONCATENATE(VLOOKUP(C490,'Butiksobjekt steg 2'!A:B,2,FALSE)," ",A490)</f>
        <v>Hemköp Stockholm Wasahallen Matavfallskärl</v>
      </c>
      <c r="C490" s="43">
        <v>163</v>
      </c>
      <c r="D490" s="45">
        <f t="shared" ca="1" si="21"/>
        <v>32</v>
      </c>
      <c r="E490" s="46">
        <f t="shared" ca="1" si="22"/>
        <v>3</v>
      </c>
      <c r="F490" s="46" t="str">
        <f t="shared" si="23"/>
        <v>Matavfallskärl</v>
      </c>
      <c r="G490" s="46" t="s">
        <v>2468</v>
      </c>
    </row>
    <row r="491" spans="1:7">
      <c r="A491" s="43" t="s">
        <v>2462</v>
      </c>
      <c r="B491" s="50" t="str">
        <f>CONCATENATE(VLOOKUP(C491,'Butiksobjekt steg 2'!A:B,2,FALSE)," ",A491)</f>
        <v>Hemköp Stockholm Wasahallen Kuundvagnsgarage</v>
      </c>
      <c r="C491" s="43">
        <v>163</v>
      </c>
      <c r="D491" s="45">
        <f t="shared" ca="1" si="21"/>
        <v>31</v>
      </c>
      <c r="E491" s="46">
        <f t="shared" ca="1" si="22"/>
        <v>1</v>
      </c>
      <c r="F491" s="46" t="str">
        <f t="shared" si="23"/>
        <v>Kuundvagnsgarage</v>
      </c>
      <c r="G491" s="46" t="s">
        <v>2469</v>
      </c>
    </row>
    <row r="492" spans="1:7">
      <c r="A492" s="43" t="s">
        <v>2460</v>
      </c>
      <c r="B492" s="50" t="str">
        <f>CONCATENATE(VLOOKUP(C492,'Butiksobjekt steg 2'!A:B,2,FALSE)," ",A492)</f>
        <v>Hemköp Stockholm Älvsjö Pantkärl</v>
      </c>
      <c r="C492" s="43">
        <v>164</v>
      </c>
      <c r="D492" s="45">
        <f t="shared" ca="1" si="21"/>
        <v>11</v>
      </c>
      <c r="E492" s="46">
        <f t="shared" ca="1" si="22"/>
        <v>5</v>
      </c>
      <c r="F492" s="46" t="str">
        <f t="shared" si="23"/>
        <v>Pantkärl</v>
      </c>
      <c r="G492" s="46" t="s">
        <v>2470</v>
      </c>
    </row>
    <row r="493" spans="1:7">
      <c r="A493" s="43" t="s">
        <v>2461</v>
      </c>
      <c r="B493" s="50" t="str">
        <f>CONCATENATE(VLOOKUP(C493,'Butiksobjekt steg 2'!A:B,2,FALSE)," ",A493)</f>
        <v>Hemköp Stockholm Älvsjö Matavfallskärl</v>
      </c>
      <c r="C493" s="43">
        <v>164</v>
      </c>
      <c r="D493" s="45">
        <f t="shared" ca="1" si="21"/>
        <v>12</v>
      </c>
      <c r="E493" s="46">
        <f t="shared" ca="1" si="22"/>
        <v>3</v>
      </c>
      <c r="F493" s="46" t="str">
        <f t="shared" si="23"/>
        <v>Matavfallskärl</v>
      </c>
      <c r="G493" s="46" t="s">
        <v>2468</v>
      </c>
    </row>
    <row r="494" spans="1:7">
      <c r="A494" s="43" t="s">
        <v>2462</v>
      </c>
      <c r="B494" s="50" t="str">
        <f>CONCATENATE(VLOOKUP(C494,'Butiksobjekt steg 2'!A:B,2,FALSE)," ",A494)</f>
        <v>Hemköp Stockholm Älvsjö Kuundvagnsgarage</v>
      </c>
      <c r="C494" s="43">
        <v>164</v>
      </c>
      <c r="D494" s="45">
        <f t="shared" ca="1" si="21"/>
        <v>13</v>
      </c>
      <c r="E494" s="46">
        <f t="shared" ca="1" si="22"/>
        <v>3</v>
      </c>
      <c r="F494" s="46" t="str">
        <f t="shared" si="23"/>
        <v>Kuundvagnsgarage</v>
      </c>
      <c r="G494" s="46" t="s">
        <v>2469</v>
      </c>
    </row>
    <row r="495" spans="1:7">
      <c r="A495" s="43" t="s">
        <v>2460</v>
      </c>
      <c r="B495" s="50" t="str">
        <f>CONCATENATE(VLOOKUP(C495,'Butiksobjekt steg 2'!A:B,2,FALSE)," ",A495)</f>
        <v>Hemköp Stockholm Ängby Torg Pantkärl</v>
      </c>
      <c r="C495" s="43">
        <v>165</v>
      </c>
      <c r="D495" s="45">
        <f t="shared" ca="1" si="21"/>
        <v>25</v>
      </c>
      <c r="E495" s="46">
        <f t="shared" ca="1" si="22"/>
        <v>4</v>
      </c>
      <c r="F495" s="46" t="str">
        <f t="shared" si="23"/>
        <v>Pantkärl</v>
      </c>
      <c r="G495" s="46" t="s">
        <v>2470</v>
      </c>
    </row>
    <row r="496" spans="1:7">
      <c r="A496" s="43" t="s">
        <v>2461</v>
      </c>
      <c r="B496" s="50" t="str">
        <f>CONCATENATE(VLOOKUP(C496,'Butiksobjekt steg 2'!A:B,2,FALSE)," ",A496)</f>
        <v>Hemköp Stockholm Ängby Torg Matavfallskärl</v>
      </c>
      <c r="C496" s="43">
        <v>165</v>
      </c>
      <c r="D496" s="45">
        <f t="shared" ca="1" si="21"/>
        <v>51</v>
      </c>
      <c r="E496" s="46">
        <f t="shared" ca="1" si="22"/>
        <v>5</v>
      </c>
      <c r="F496" s="46" t="str">
        <f t="shared" si="23"/>
        <v>Matavfallskärl</v>
      </c>
      <c r="G496" s="46" t="s">
        <v>2468</v>
      </c>
    </row>
    <row r="497" spans="1:7">
      <c r="A497" s="43" t="s">
        <v>2462</v>
      </c>
      <c r="B497" s="50" t="str">
        <f>CONCATENATE(VLOOKUP(C497,'Butiksobjekt steg 2'!A:B,2,FALSE)," ",A497)</f>
        <v>Hemköp Stockholm Ängby Torg Kuundvagnsgarage</v>
      </c>
      <c r="C497" s="43">
        <v>165</v>
      </c>
      <c r="D497" s="45">
        <f t="shared" ca="1" si="21"/>
        <v>49</v>
      </c>
      <c r="E497" s="46">
        <f t="shared" ca="1" si="22"/>
        <v>2</v>
      </c>
      <c r="F497" s="46" t="str">
        <f t="shared" si="23"/>
        <v>Kuundvagnsgarage</v>
      </c>
      <c r="G497" s="46" t="s">
        <v>2469</v>
      </c>
    </row>
    <row r="498" spans="1:7">
      <c r="A498" s="43" t="s">
        <v>2460</v>
      </c>
      <c r="B498" s="50" t="str">
        <f>CONCATENATE(VLOOKUP(C498,'Butiksobjekt steg 2'!A:B,2,FALSE)," ",A498)</f>
        <v>Hemköp Stockholm Örby Pantkärl</v>
      </c>
      <c r="C498" s="43">
        <v>166</v>
      </c>
      <c r="D498" s="45">
        <f t="shared" ca="1" si="21"/>
        <v>36</v>
      </c>
      <c r="E498" s="46">
        <f t="shared" ca="1" si="22"/>
        <v>4</v>
      </c>
      <c r="F498" s="46" t="str">
        <f t="shared" si="23"/>
        <v>Pantkärl</v>
      </c>
      <c r="G498" s="46" t="s">
        <v>2470</v>
      </c>
    </row>
    <row r="499" spans="1:7">
      <c r="A499" s="43" t="s">
        <v>2461</v>
      </c>
      <c r="B499" s="50" t="str">
        <f>CONCATENATE(VLOOKUP(C499,'Butiksobjekt steg 2'!A:B,2,FALSE)," ",A499)</f>
        <v>Hemköp Stockholm Örby Matavfallskärl</v>
      </c>
      <c r="C499" s="43">
        <v>166</v>
      </c>
      <c r="D499" s="45">
        <f t="shared" ca="1" si="21"/>
        <v>26</v>
      </c>
      <c r="E499" s="46">
        <f t="shared" ca="1" si="22"/>
        <v>4</v>
      </c>
      <c r="F499" s="46" t="str">
        <f t="shared" si="23"/>
        <v>Matavfallskärl</v>
      </c>
      <c r="G499" s="46" t="s">
        <v>2468</v>
      </c>
    </row>
    <row r="500" spans="1:7">
      <c r="A500" s="43" t="s">
        <v>2462</v>
      </c>
      <c r="B500" s="50" t="str">
        <f>CONCATENATE(VLOOKUP(C500,'Butiksobjekt steg 2'!A:B,2,FALSE)," ",A500)</f>
        <v>Hemköp Stockholm Örby Kuundvagnsgarage</v>
      </c>
      <c r="C500" s="43">
        <v>166</v>
      </c>
      <c r="D500" s="45">
        <f t="shared" ca="1" si="21"/>
        <v>15</v>
      </c>
      <c r="E500" s="46">
        <f t="shared" ca="1" si="22"/>
        <v>1</v>
      </c>
      <c r="F500" s="46" t="str">
        <f t="shared" si="23"/>
        <v>Kuundvagnsgarage</v>
      </c>
      <c r="G500" s="46" t="s">
        <v>2469</v>
      </c>
    </row>
    <row r="501" spans="1:7">
      <c r="A501" s="43" t="s">
        <v>2460</v>
      </c>
      <c r="B501" s="50" t="str">
        <f>CONCATENATE(VLOOKUP(C501,'Butiksobjekt steg 2'!A:B,2,FALSE)," ",A501)</f>
        <v>Hemköp Stockholm Östermalmstorg Pantkärl</v>
      </c>
      <c r="C501" s="43">
        <v>167</v>
      </c>
      <c r="D501" s="45">
        <f t="shared" ca="1" si="21"/>
        <v>38</v>
      </c>
      <c r="E501" s="46">
        <f t="shared" ca="1" si="22"/>
        <v>4</v>
      </c>
      <c r="F501" s="46" t="str">
        <f t="shared" si="23"/>
        <v>Pantkärl</v>
      </c>
      <c r="G501" s="46" t="s">
        <v>2470</v>
      </c>
    </row>
    <row r="502" spans="1:7">
      <c r="A502" s="43" t="s">
        <v>2461</v>
      </c>
      <c r="B502" s="50" t="str">
        <f>CONCATENATE(VLOOKUP(C502,'Butiksobjekt steg 2'!A:B,2,FALSE)," ",A502)</f>
        <v>Hemköp Stockholm Östermalmstorg Matavfallskärl</v>
      </c>
      <c r="C502" s="43">
        <v>167</v>
      </c>
      <c r="D502" s="45">
        <f t="shared" ca="1" si="21"/>
        <v>24</v>
      </c>
      <c r="E502" s="46">
        <f t="shared" ca="1" si="22"/>
        <v>3</v>
      </c>
      <c r="F502" s="46" t="str">
        <f t="shared" si="23"/>
        <v>Matavfallskärl</v>
      </c>
      <c r="G502" s="46" t="s">
        <v>2468</v>
      </c>
    </row>
    <row r="503" spans="1:7">
      <c r="A503" s="43" t="s">
        <v>2462</v>
      </c>
      <c r="B503" s="50" t="str">
        <f>CONCATENATE(VLOOKUP(C503,'Butiksobjekt steg 2'!A:B,2,FALSE)," ",A503)</f>
        <v>Hemköp Stockholm Östermalmstorg Kuundvagnsgarage</v>
      </c>
      <c r="C503" s="43">
        <v>167</v>
      </c>
      <c r="D503" s="45">
        <f t="shared" ca="1" si="21"/>
        <v>19</v>
      </c>
      <c r="E503" s="46">
        <f t="shared" ca="1" si="22"/>
        <v>3</v>
      </c>
      <c r="F503" s="46" t="str">
        <f t="shared" si="23"/>
        <v>Kuundvagnsgarage</v>
      </c>
      <c r="G503" s="46" t="s">
        <v>2469</v>
      </c>
    </row>
    <row r="504" spans="1:7">
      <c r="A504" s="43" t="s">
        <v>2460</v>
      </c>
      <c r="B504" s="50" t="str">
        <f>CONCATENATE(VLOOKUP(C504,'Butiksobjekt steg 2'!A:B,2,FALSE)," ",A504)</f>
        <v>Hemköp Strängnäs C Pantkärl</v>
      </c>
      <c r="C504" s="43">
        <v>168</v>
      </c>
      <c r="D504" s="45">
        <f t="shared" ca="1" si="21"/>
        <v>42</v>
      </c>
      <c r="E504" s="46">
        <f t="shared" ca="1" si="22"/>
        <v>4</v>
      </c>
      <c r="F504" s="46" t="str">
        <f t="shared" si="23"/>
        <v>Pantkärl</v>
      </c>
      <c r="G504" s="46" t="s">
        <v>2470</v>
      </c>
    </row>
    <row r="505" spans="1:7">
      <c r="A505" s="43" t="s">
        <v>2461</v>
      </c>
      <c r="B505" s="50" t="str">
        <f>CONCATENATE(VLOOKUP(C505,'Butiksobjekt steg 2'!A:B,2,FALSE)," ",A505)</f>
        <v>Hemköp Strängnäs C Matavfallskärl</v>
      </c>
      <c r="C505" s="43">
        <v>168</v>
      </c>
      <c r="D505" s="45">
        <f t="shared" ca="1" si="21"/>
        <v>42</v>
      </c>
      <c r="E505" s="46">
        <f t="shared" ca="1" si="22"/>
        <v>5</v>
      </c>
      <c r="F505" s="46" t="str">
        <f t="shared" si="23"/>
        <v>Matavfallskärl</v>
      </c>
      <c r="G505" s="46" t="s">
        <v>2468</v>
      </c>
    </row>
    <row r="506" spans="1:7">
      <c r="A506" s="43" t="s">
        <v>2462</v>
      </c>
      <c r="B506" s="50" t="str">
        <f>CONCATENATE(VLOOKUP(C506,'Butiksobjekt steg 2'!A:B,2,FALSE)," ",A506)</f>
        <v>Hemköp Strängnäs C Kuundvagnsgarage</v>
      </c>
      <c r="C506" s="43">
        <v>168</v>
      </c>
      <c r="D506" s="45">
        <f t="shared" ca="1" si="21"/>
        <v>45</v>
      </c>
      <c r="E506" s="46">
        <f t="shared" ca="1" si="22"/>
        <v>3</v>
      </c>
      <c r="F506" s="46" t="str">
        <f t="shared" si="23"/>
        <v>Kuundvagnsgarage</v>
      </c>
      <c r="G506" s="46" t="s">
        <v>2469</v>
      </c>
    </row>
    <row r="507" spans="1:7">
      <c r="A507" s="43" t="s">
        <v>2460</v>
      </c>
      <c r="B507" s="50" t="str">
        <f>CONCATENATE(VLOOKUP(C507,'Butiksobjekt steg 2'!A:B,2,FALSE)," ",A507)</f>
        <v>Hemköp Sundbyberg C Pantkärl</v>
      </c>
      <c r="C507" s="43">
        <v>169</v>
      </c>
      <c r="D507" s="45">
        <f t="shared" ca="1" si="21"/>
        <v>19</v>
      </c>
      <c r="E507" s="46">
        <f t="shared" ca="1" si="22"/>
        <v>3</v>
      </c>
      <c r="F507" s="46" t="str">
        <f t="shared" si="23"/>
        <v>Pantkärl</v>
      </c>
      <c r="G507" s="46" t="s">
        <v>2470</v>
      </c>
    </row>
    <row r="508" spans="1:7">
      <c r="A508" s="43" t="s">
        <v>2461</v>
      </c>
      <c r="B508" s="50" t="str">
        <f>CONCATENATE(VLOOKUP(C508,'Butiksobjekt steg 2'!A:B,2,FALSE)," ",A508)</f>
        <v>Hemköp Sundbyberg C Matavfallskärl</v>
      </c>
      <c r="C508" s="43">
        <v>169</v>
      </c>
      <c r="D508" s="45">
        <f t="shared" ca="1" si="21"/>
        <v>15</v>
      </c>
      <c r="E508" s="46">
        <f t="shared" ca="1" si="22"/>
        <v>5</v>
      </c>
      <c r="F508" s="46" t="str">
        <f t="shared" si="23"/>
        <v>Matavfallskärl</v>
      </c>
      <c r="G508" s="46" t="s">
        <v>2468</v>
      </c>
    </row>
    <row r="509" spans="1:7">
      <c r="A509" s="43" t="s">
        <v>2462</v>
      </c>
      <c r="B509" s="50" t="str">
        <f>CONCATENATE(VLOOKUP(C509,'Butiksobjekt steg 2'!A:B,2,FALSE)," ",A509)</f>
        <v>Hemköp Sundbyberg C Kuundvagnsgarage</v>
      </c>
      <c r="C509" s="43">
        <v>169</v>
      </c>
      <c r="D509" s="45">
        <f t="shared" ca="1" si="21"/>
        <v>50</v>
      </c>
      <c r="E509" s="46">
        <f t="shared" ca="1" si="22"/>
        <v>1</v>
      </c>
      <c r="F509" s="46" t="str">
        <f t="shared" si="23"/>
        <v>Kuundvagnsgarage</v>
      </c>
      <c r="G509" s="46" t="s">
        <v>2469</v>
      </c>
    </row>
    <row r="510" spans="1:7">
      <c r="A510" s="43" t="s">
        <v>2460</v>
      </c>
      <c r="B510" s="50" t="str">
        <f>CONCATENATE(VLOOKUP(C510,'Butiksobjekt steg 2'!A:B,2,FALSE)," ",A510)</f>
        <v>Hemköp Sundbyberg Rissne Pantkärl</v>
      </c>
      <c r="C510" s="43">
        <v>170</v>
      </c>
      <c r="D510" s="45">
        <f t="shared" ca="1" si="21"/>
        <v>31</v>
      </c>
      <c r="E510" s="46">
        <f t="shared" ca="1" si="22"/>
        <v>1</v>
      </c>
      <c r="F510" s="46" t="str">
        <f t="shared" si="23"/>
        <v>Pantkärl</v>
      </c>
      <c r="G510" s="46" t="s">
        <v>2470</v>
      </c>
    </row>
    <row r="511" spans="1:7">
      <c r="A511" s="43" t="s">
        <v>2461</v>
      </c>
      <c r="B511" s="50" t="str">
        <f>CONCATENATE(VLOOKUP(C511,'Butiksobjekt steg 2'!A:B,2,FALSE)," ",A511)</f>
        <v>Hemköp Sundbyberg Rissne Matavfallskärl</v>
      </c>
      <c r="C511" s="43">
        <v>170</v>
      </c>
      <c r="D511" s="45">
        <f t="shared" ca="1" si="21"/>
        <v>48</v>
      </c>
      <c r="E511" s="46">
        <f t="shared" ca="1" si="22"/>
        <v>3</v>
      </c>
      <c r="F511" s="46" t="str">
        <f t="shared" si="23"/>
        <v>Matavfallskärl</v>
      </c>
      <c r="G511" s="46" t="s">
        <v>2468</v>
      </c>
    </row>
    <row r="512" spans="1:7">
      <c r="A512" s="43" t="s">
        <v>2462</v>
      </c>
      <c r="B512" s="50" t="str">
        <f>CONCATENATE(VLOOKUP(C512,'Butiksobjekt steg 2'!A:B,2,FALSE)," ",A512)</f>
        <v>Hemköp Sundbyberg Rissne Kuundvagnsgarage</v>
      </c>
      <c r="C512" s="43">
        <v>170</v>
      </c>
      <c r="D512" s="45">
        <f t="shared" ca="1" si="21"/>
        <v>51</v>
      </c>
      <c r="E512" s="46">
        <f t="shared" ca="1" si="22"/>
        <v>4</v>
      </c>
      <c r="F512" s="46" t="str">
        <f t="shared" si="23"/>
        <v>Kuundvagnsgarage</v>
      </c>
      <c r="G512" s="46" t="s">
        <v>2469</v>
      </c>
    </row>
    <row r="513" spans="1:7">
      <c r="A513" s="43" t="s">
        <v>2460</v>
      </c>
      <c r="B513" s="50" t="str">
        <f>CONCATENATE(VLOOKUP(C513,'Butiksobjekt steg 2'!A:B,2,FALSE)," ",A513)</f>
        <v>Hemköp Svanesund C Pantkärl</v>
      </c>
      <c r="C513" s="43">
        <v>171</v>
      </c>
      <c r="D513" s="45">
        <f t="shared" ca="1" si="21"/>
        <v>22</v>
      </c>
      <c r="E513" s="46">
        <f t="shared" ca="1" si="22"/>
        <v>4</v>
      </c>
      <c r="F513" s="46" t="str">
        <f t="shared" si="23"/>
        <v>Pantkärl</v>
      </c>
      <c r="G513" s="46" t="s">
        <v>2470</v>
      </c>
    </row>
    <row r="514" spans="1:7">
      <c r="A514" s="43" t="s">
        <v>2461</v>
      </c>
      <c r="B514" s="50" t="str">
        <f>CONCATENATE(VLOOKUP(C514,'Butiksobjekt steg 2'!A:B,2,FALSE)," ",A514)</f>
        <v>Hemköp Svanesund C Matavfallskärl</v>
      </c>
      <c r="C514" s="43">
        <v>171</v>
      </c>
      <c r="D514" s="45">
        <f t="shared" ca="1" si="21"/>
        <v>46</v>
      </c>
      <c r="E514" s="46">
        <f t="shared" ca="1" si="22"/>
        <v>3</v>
      </c>
      <c r="F514" s="46" t="str">
        <f t="shared" si="23"/>
        <v>Matavfallskärl</v>
      </c>
      <c r="G514" s="46" t="s">
        <v>2468</v>
      </c>
    </row>
    <row r="515" spans="1:7">
      <c r="A515" s="43" t="s">
        <v>2462</v>
      </c>
      <c r="B515" s="50" t="str">
        <f>CONCATENATE(VLOOKUP(C515,'Butiksobjekt steg 2'!A:B,2,FALSE)," ",A515)</f>
        <v>Hemköp Svanesund C Kuundvagnsgarage</v>
      </c>
      <c r="C515" s="43">
        <v>171</v>
      </c>
      <c r="D515" s="45">
        <f t="shared" ca="1" si="21"/>
        <v>26</v>
      </c>
      <c r="E515" s="46">
        <f t="shared" ca="1" si="22"/>
        <v>4</v>
      </c>
      <c r="F515" s="46" t="str">
        <f t="shared" si="23"/>
        <v>Kuundvagnsgarage</v>
      </c>
      <c r="G515" s="46" t="s">
        <v>2469</v>
      </c>
    </row>
    <row r="516" spans="1:7">
      <c r="A516" s="43" t="s">
        <v>2460</v>
      </c>
      <c r="B516" s="50" t="str">
        <f>CONCATENATE(VLOOKUP(C516,'Butiksobjekt steg 2'!A:B,2,FALSE)," ",A516)</f>
        <v>Hemköp Svedala C Pantkärl</v>
      </c>
      <c r="C516" s="43">
        <v>172</v>
      </c>
      <c r="D516" s="45">
        <f t="shared" ref="D516:D579" ca="1" si="24">RANDBETWEEN(8,53)</f>
        <v>24</v>
      </c>
      <c r="E516" s="46">
        <f t="shared" ref="E516:E579" ca="1" si="25">RANDBETWEEN(1,5)</f>
        <v>5</v>
      </c>
      <c r="F516" s="46" t="str">
        <f t="shared" si="23"/>
        <v>Pantkärl</v>
      </c>
      <c r="G516" s="46" t="s">
        <v>2470</v>
      </c>
    </row>
    <row r="517" spans="1:7">
      <c r="A517" s="43" t="s">
        <v>2461</v>
      </c>
      <c r="B517" s="50" t="str">
        <f>CONCATENATE(VLOOKUP(C517,'Butiksobjekt steg 2'!A:B,2,FALSE)," ",A517)</f>
        <v>Hemköp Svedala C Matavfallskärl</v>
      </c>
      <c r="C517" s="43">
        <v>172</v>
      </c>
      <c r="D517" s="45">
        <f t="shared" ca="1" si="24"/>
        <v>18</v>
      </c>
      <c r="E517" s="46">
        <f t="shared" ca="1" si="25"/>
        <v>5</v>
      </c>
      <c r="F517" s="46" t="str">
        <f t="shared" ref="F517:F580" si="26">A517</f>
        <v>Matavfallskärl</v>
      </c>
      <c r="G517" s="46" t="s">
        <v>2468</v>
      </c>
    </row>
    <row r="518" spans="1:7">
      <c r="A518" s="43" t="s">
        <v>2462</v>
      </c>
      <c r="B518" s="50" t="str">
        <f>CONCATENATE(VLOOKUP(C518,'Butiksobjekt steg 2'!A:B,2,FALSE)," ",A518)</f>
        <v>Hemköp Svedala C Kuundvagnsgarage</v>
      </c>
      <c r="C518" s="43">
        <v>172</v>
      </c>
      <c r="D518" s="45">
        <f t="shared" ca="1" si="24"/>
        <v>39</v>
      </c>
      <c r="E518" s="46">
        <f t="shared" ca="1" si="25"/>
        <v>4</v>
      </c>
      <c r="F518" s="46" t="str">
        <f t="shared" si="26"/>
        <v>Kuundvagnsgarage</v>
      </c>
      <c r="G518" s="46" t="s">
        <v>2469</v>
      </c>
    </row>
    <row r="519" spans="1:7">
      <c r="A519" s="43" t="s">
        <v>2460</v>
      </c>
      <c r="B519" s="50" t="str">
        <f>CONCATENATE(VLOOKUP(C519,'Butiksobjekt steg 2'!A:B,2,FALSE)," ",A519)</f>
        <v>Hemköp Särö C Pantkärl</v>
      </c>
      <c r="C519" s="43">
        <v>173</v>
      </c>
      <c r="D519" s="45">
        <f t="shared" ca="1" si="24"/>
        <v>46</v>
      </c>
      <c r="E519" s="46">
        <f t="shared" ca="1" si="25"/>
        <v>3</v>
      </c>
      <c r="F519" s="46" t="str">
        <f t="shared" si="26"/>
        <v>Pantkärl</v>
      </c>
      <c r="G519" s="46" t="s">
        <v>2470</v>
      </c>
    </row>
    <row r="520" spans="1:7">
      <c r="A520" s="43" t="s">
        <v>2461</v>
      </c>
      <c r="B520" s="50" t="str">
        <f>CONCATENATE(VLOOKUP(C520,'Butiksobjekt steg 2'!A:B,2,FALSE)," ",A520)</f>
        <v>Hemköp Särö C Matavfallskärl</v>
      </c>
      <c r="C520" s="43">
        <v>173</v>
      </c>
      <c r="D520" s="45">
        <f t="shared" ca="1" si="24"/>
        <v>10</v>
      </c>
      <c r="E520" s="46">
        <f t="shared" ca="1" si="25"/>
        <v>1</v>
      </c>
      <c r="F520" s="46" t="str">
        <f t="shared" si="26"/>
        <v>Matavfallskärl</v>
      </c>
      <c r="G520" s="46" t="s">
        <v>2468</v>
      </c>
    </row>
    <row r="521" spans="1:7">
      <c r="A521" s="43" t="s">
        <v>2462</v>
      </c>
      <c r="B521" s="50" t="str">
        <f>CONCATENATE(VLOOKUP(C521,'Butiksobjekt steg 2'!A:B,2,FALSE)," ",A521)</f>
        <v>Hemköp Särö C Kuundvagnsgarage</v>
      </c>
      <c r="C521" s="43">
        <v>173</v>
      </c>
      <c r="D521" s="45">
        <f t="shared" ca="1" si="24"/>
        <v>10</v>
      </c>
      <c r="E521" s="46">
        <f t="shared" ca="1" si="25"/>
        <v>2</v>
      </c>
      <c r="F521" s="46" t="str">
        <f t="shared" si="26"/>
        <v>Kuundvagnsgarage</v>
      </c>
      <c r="G521" s="46" t="s">
        <v>2469</v>
      </c>
    </row>
    <row r="522" spans="1:7">
      <c r="A522" s="43" t="s">
        <v>2460</v>
      </c>
      <c r="B522" s="50" t="str">
        <f>CONCATENATE(VLOOKUP(C522,'Butiksobjekt steg 2'!A:B,2,FALSE)," ",A522)</f>
        <v>Hemköp Söderköping Ågatan Pantkärl</v>
      </c>
      <c r="C522" s="43">
        <v>174</v>
      </c>
      <c r="D522" s="45">
        <f t="shared" ca="1" si="24"/>
        <v>32</v>
      </c>
      <c r="E522" s="46">
        <f t="shared" ca="1" si="25"/>
        <v>3</v>
      </c>
      <c r="F522" s="46" t="str">
        <f t="shared" si="26"/>
        <v>Pantkärl</v>
      </c>
      <c r="G522" s="46" t="s">
        <v>2470</v>
      </c>
    </row>
    <row r="523" spans="1:7">
      <c r="A523" s="43" t="s">
        <v>2461</v>
      </c>
      <c r="B523" s="50" t="str">
        <f>CONCATENATE(VLOOKUP(C523,'Butiksobjekt steg 2'!A:B,2,FALSE)," ",A523)</f>
        <v>Hemköp Söderköping Ågatan Matavfallskärl</v>
      </c>
      <c r="C523" s="43">
        <v>174</v>
      </c>
      <c r="D523" s="45">
        <f t="shared" ca="1" si="24"/>
        <v>34</v>
      </c>
      <c r="E523" s="46">
        <f t="shared" ca="1" si="25"/>
        <v>3</v>
      </c>
      <c r="F523" s="46" t="str">
        <f t="shared" si="26"/>
        <v>Matavfallskärl</v>
      </c>
      <c r="G523" s="46" t="s">
        <v>2468</v>
      </c>
    </row>
    <row r="524" spans="1:7">
      <c r="A524" s="43" t="s">
        <v>2462</v>
      </c>
      <c r="B524" s="50" t="str">
        <f>CONCATENATE(VLOOKUP(C524,'Butiksobjekt steg 2'!A:B,2,FALSE)," ",A524)</f>
        <v>Hemköp Söderköping Ågatan Kuundvagnsgarage</v>
      </c>
      <c r="C524" s="43">
        <v>174</v>
      </c>
      <c r="D524" s="45">
        <f t="shared" ca="1" si="24"/>
        <v>49</v>
      </c>
      <c r="E524" s="46">
        <f t="shared" ca="1" si="25"/>
        <v>4</v>
      </c>
      <c r="F524" s="46" t="str">
        <f t="shared" si="26"/>
        <v>Kuundvagnsgarage</v>
      </c>
      <c r="G524" s="46" t="s">
        <v>2469</v>
      </c>
    </row>
    <row r="525" spans="1:7">
      <c r="A525" s="43" t="s">
        <v>2460</v>
      </c>
      <c r="B525" s="50" t="str">
        <f>CONCATENATE(VLOOKUP(C525,'Butiksobjekt steg 2'!A:B,2,FALSE)," ",A525)</f>
        <v>Hemköp Södertälje Ellbe Livs Pantkärl</v>
      </c>
      <c r="C525" s="43">
        <v>175</v>
      </c>
      <c r="D525" s="45">
        <f t="shared" ca="1" si="24"/>
        <v>23</v>
      </c>
      <c r="E525" s="46">
        <f t="shared" ca="1" si="25"/>
        <v>1</v>
      </c>
      <c r="F525" s="46" t="str">
        <f t="shared" si="26"/>
        <v>Pantkärl</v>
      </c>
      <c r="G525" s="46" t="s">
        <v>2470</v>
      </c>
    </row>
    <row r="526" spans="1:7">
      <c r="A526" s="43" t="s">
        <v>2461</v>
      </c>
      <c r="B526" s="50" t="str">
        <f>CONCATENATE(VLOOKUP(C526,'Butiksobjekt steg 2'!A:B,2,FALSE)," ",A526)</f>
        <v>Hemköp Södertälje Ellbe Livs Matavfallskärl</v>
      </c>
      <c r="C526" s="43">
        <v>175</v>
      </c>
      <c r="D526" s="45">
        <f t="shared" ca="1" si="24"/>
        <v>30</v>
      </c>
      <c r="E526" s="46">
        <f t="shared" ca="1" si="25"/>
        <v>1</v>
      </c>
      <c r="F526" s="46" t="str">
        <f t="shared" si="26"/>
        <v>Matavfallskärl</v>
      </c>
      <c r="G526" s="46" t="s">
        <v>2468</v>
      </c>
    </row>
    <row r="527" spans="1:7">
      <c r="A527" s="43" t="s">
        <v>2462</v>
      </c>
      <c r="B527" s="50" t="str">
        <f>CONCATENATE(VLOOKUP(C527,'Butiksobjekt steg 2'!A:B,2,FALSE)," ",A527)</f>
        <v>Hemköp Södertälje Ellbe Livs Kuundvagnsgarage</v>
      </c>
      <c r="C527" s="43">
        <v>175</v>
      </c>
      <c r="D527" s="45">
        <f t="shared" ca="1" si="24"/>
        <v>51</v>
      </c>
      <c r="E527" s="46">
        <f t="shared" ca="1" si="25"/>
        <v>4</v>
      </c>
      <c r="F527" s="46" t="str">
        <f t="shared" si="26"/>
        <v>Kuundvagnsgarage</v>
      </c>
      <c r="G527" s="46" t="s">
        <v>2469</v>
      </c>
    </row>
    <row r="528" spans="1:7">
      <c r="A528" s="43" t="s">
        <v>2460</v>
      </c>
      <c r="B528" s="50" t="str">
        <f>CONCATENATE(VLOOKUP(C528,'Butiksobjekt steg 2'!A:B,2,FALSE)," ",A528)</f>
        <v>Hemköp Tandådalen Köpcentrum Pantkärl</v>
      </c>
      <c r="C528" s="43">
        <v>176</v>
      </c>
      <c r="D528" s="45">
        <f t="shared" ca="1" si="24"/>
        <v>17</v>
      </c>
      <c r="E528" s="46">
        <f t="shared" ca="1" si="25"/>
        <v>1</v>
      </c>
      <c r="F528" s="46" t="str">
        <f t="shared" si="26"/>
        <v>Pantkärl</v>
      </c>
      <c r="G528" s="46" t="s">
        <v>2470</v>
      </c>
    </row>
    <row r="529" spans="1:7">
      <c r="A529" s="43" t="s">
        <v>2461</v>
      </c>
      <c r="B529" s="50" t="str">
        <f>CONCATENATE(VLOOKUP(C529,'Butiksobjekt steg 2'!A:B,2,FALSE)," ",A529)</f>
        <v>Hemköp Tandådalen Köpcentrum Matavfallskärl</v>
      </c>
      <c r="C529" s="43">
        <v>176</v>
      </c>
      <c r="D529" s="45">
        <f t="shared" ca="1" si="24"/>
        <v>25</v>
      </c>
      <c r="E529" s="46">
        <f t="shared" ca="1" si="25"/>
        <v>3</v>
      </c>
      <c r="F529" s="46" t="str">
        <f t="shared" si="26"/>
        <v>Matavfallskärl</v>
      </c>
      <c r="G529" s="46" t="s">
        <v>2468</v>
      </c>
    </row>
    <row r="530" spans="1:7">
      <c r="A530" s="43" t="s">
        <v>2462</v>
      </c>
      <c r="B530" s="50" t="str">
        <f>CONCATENATE(VLOOKUP(C530,'Butiksobjekt steg 2'!A:B,2,FALSE)," ",A530)</f>
        <v>Hemköp Tandådalen Köpcentrum Kuundvagnsgarage</v>
      </c>
      <c r="C530" s="43">
        <v>176</v>
      </c>
      <c r="D530" s="45">
        <f t="shared" ca="1" si="24"/>
        <v>25</v>
      </c>
      <c r="E530" s="46">
        <f t="shared" ca="1" si="25"/>
        <v>5</v>
      </c>
      <c r="F530" s="46" t="str">
        <f t="shared" si="26"/>
        <v>Kuundvagnsgarage</v>
      </c>
      <c r="G530" s="46" t="s">
        <v>2469</v>
      </c>
    </row>
    <row r="531" spans="1:7">
      <c r="A531" s="43" t="s">
        <v>2460</v>
      </c>
      <c r="B531" s="50" t="str">
        <f>CONCATENATE(VLOOKUP(C531,'Butiksobjekt steg 2'!A:B,2,FALSE)," ",A531)</f>
        <v>Hemköp Tierp C Pantkärl</v>
      </c>
      <c r="C531" s="43">
        <v>177</v>
      </c>
      <c r="D531" s="45">
        <f t="shared" ca="1" si="24"/>
        <v>49</v>
      </c>
      <c r="E531" s="46">
        <f t="shared" ca="1" si="25"/>
        <v>4</v>
      </c>
      <c r="F531" s="46" t="str">
        <f t="shared" si="26"/>
        <v>Pantkärl</v>
      </c>
      <c r="G531" s="46" t="s">
        <v>2470</v>
      </c>
    </row>
    <row r="532" spans="1:7">
      <c r="A532" s="43" t="s">
        <v>2461</v>
      </c>
      <c r="B532" s="50" t="str">
        <f>CONCATENATE(VLOOKUP(C532,'Butiksobjekt steg 2'!A:B,2,FALSE)," ",A532)</f>
        <v>Hemköp Tierp C Matavfallskärl</v>
      </c>
      <c r="C532" s="43">
        <v>177</v>
      </c>
      <c r="D532" s="45">
        <f t="shared" ca="1" si="24"/>
        <v>31</v>
      </c>
      <c r="E532" s="46">
        <f t="shared" ca="1" si="25"/>
        <v>2</v>
      </c>
      <c r="F532" s="46" t="str">
        <f t="shared" si="26"/>
        <v>Matavfallskärl</v>
      </c>
      <c r="G532" s="46" t="s">
        <v>2468</v>
      </c>
    </row>
    <row r="533" spans="1:7">
      <c r="A533" s="43" t="s">
        <v>2462</v>
      </c>
      <c r="B533" s="50" t="str">
        <f>CONCATENATE(VLOOKUP(C533,'Butiksobjekt steg 2'!A:B,2,FALSE)," ",A533)</f>
        <v>Hemköp Tierp C Kuundvagnsgarage</v>
      </c>
      <c r="C533" s="43">
        <v>177</v>
      </c>
      <c r="D533" s="45">
        <f t="shared" ca="1" si="24"/>
        <v>29</v>
      </c>
      <c r="E533" s="46">
        <f t="shared" ca="1" si="25"/>
        <v>2</v>
      </c>
      <c r="F533" s="46" t="str">
        <f t="shared" si="26"/>
        <v>Kuundvagnsgarage</v>
      </c>
      <c r="G533" s="46" t="s">
        <v>2469</v>
      </c>
    </row>
    <row r="534" spans="1:7">
      <c r="A534" s="43" t="s">
        <v>2460</v>
      </c>
      <c r="B534" s="50" t="str">
        <f>CONCATENATE(VLOOKUP(C534,'Butiksobjekt steg 2'!A:B,2,FALSE)," ",A534)</f>
        <v>Hemköp Tjörn Almö Pantkärl</v>
      </c>
      <c r="C534" s="43">
        <v>178</v>
      </c>
      <c r="D534" s="45">
        <f t="shared" ca="1" si="24"/>
        <v>45</v>
      </c>
      <c r="E534" s="46">
        <f t="shared" ca="1" si="25"/>
        <v>1</v>
      </c>
      <c r="F534" s="46" t="str">
        <f t="shared" si="26"/>
        <v>Pantkärl</v>
      </c>
      <c r="G534" s="46" t="s">
        <v>2470</v>
      </c>
    </row>
    <row r="535" spans="1:7">
      <c r="A535" s="43" t="s">
        <v>2461</v>
      </c>
      <c r="B535" s="50" t="str">
        <f>CONCATENATE(VLOOKUP(C535,'Butiksobjekt steg 2'!A:B,2,FALSE)," ",A535)</f>
        <v>Hemköp Tjörn Almö Matavfallskärl</v>
      </c>
      <c r="C535" s="43">
        <v>178</v>
      </c>
      <c r="D535" s="45">
        <f t="shared" ca="1" si="24"/>
        <v>37</v>
      </c>
      <c r="E535" s="46">
        <f t="shared" ca="1" si="25"/>
        <v>3</v>
      </c>
      <c r="F535" s="46" t="str">
        <f t="shared" si="26"/>
        <v>Matavfallskärl</v>
      </c>
      <c r="G535" s="46" t="s">
        <v>2468</v>
      </c>
    </row>
    <row r="536" spans="1:7">
      <c r="A536" s="43" t="s">
        <v>2462</v>
      </c>
      <c r="B536" s="50" t="str">
        <f>CONCATENATE(VLOOKUP(C536,'Butiksobjekt steg 2'!A:B,2,FALSE)," ",A536)</f>
        <v>Hemköp Tjörn Almö Kuundvagnsgarage</v>
      </c>
      <c r="C536" s="43">
        <v>178</v>
      </c>
      <c r="D536" s="45">
        <f t="shared" ca="1" si="24"/>
        <v>21</v>
      </c>
      <c r="E536" s="46">
        <f t="shared" ca="1" si="25"/>
        <v>4</v>
      </c>
      <c r="F536" s="46" t="str">
        <f t="shared" si="26"/>
        <v>Kuundvagnsgarage</v>
      </c>
      <c r="G536" s="46" t="s">
        <v>2469</v>
      </c>
    </row>
    <row r="537" spans="1:7">
      <c r="A537" s="43" t="s">
        <v>2460</v>
      </c>
      <c r="B537" s="50" t="str">
        <f>CONCATENATE(VLOOKUP(C537,'Butiksobjekt steg 2'!A:B,2,FALSE)," ",A537)</f>
        <v>Hemköp Torshälla Spånga Pantkärl</v>
      </c>
      <c r="C537" s="43">
        <v>179</v>
      </c>
      <c r="D537" s="45">
        <f t="shared" ca="1" si="24"/>
        <v>32</v>
      </c>
      <c r="E537" s="46">
        <f t="shared" ca="1" si="25"/>
        <v>4</v>
      </c>
      <c r="F537" s="46" t="str">
        <f t="shared" si="26"/>
        <v>Pantkärl</v>
      </c>
      <c r="G537" s="46" t="s">
        <v>2470</v>
      </c>
    </row>
    <row r="538" spans="1:7">
      <c r="A538" s="43" t="s">
        <v>2461</v>
      </c>
      <c r="B538" s="50" t="str">
        <f>CONCATENATE(VLOOKUP(C538,'Butiksobjekt steg 2'!A:B,2,FALSE)," ",A538)</f>
        <v>Hemköp Torshälla Spånga Matavfallskärl</v>
      </c>
      <c r="C538" s="43">
        <v>179</v>
      </c>
      <c r="D538" s="45">
        <f t="shared" ca="1" si="24"/>
        <v>47</v>
      </c>
      <c r="E538" s="46">
        <f t="shared" ca="1" si="25"/>
        <v>1</v>
      </c>
      <c r="F538" s="46" t="str">
        <f t="shared" si="26"/>
        <v>Matavfallskärl</v>
      </c>
      <c r="G538" s="46" t="s">
        <v>2468</v>
      </c>
    </row>
    <row r="539" spans="1:7">
      <c r="A539" s="43" t="s">
        <v>2462</v>
      </c>
      <c r="B539" s="50" t="str">
        <f>CONCATENATE(VLOOKUP(C539,'Butiksobjekt steg 2'!A:B,2,FALSE)," ",A539)</f>
        <v>Hemköp Torshälla Spånga Kuundvagnsgarage</v>
      </c>
      <c r="C539" s="43">
        <v>179</v>
      </c>
      <c r="D539" s="45">
        <f t="shared" ca="1" si="24"/>
        <v>22</v>
      </c>
      <c r="E539" s="46">
        <f t="shared" ca="1" si="25"/>
        <v>2</v>
      </c>
      <c r="F539" s="46" t="str">
        <f t="shared" si="26"/>
        <v>Kuundvagnsgarage</v>
      </c>
      <c r="G539" s="46" t="s">
        <v>2469</v>
      </c>
    </row>
    <row r="540" spans="1:7">
      <c r="A540" s="43" t="s">
        <v>2460</v>
      </c>
      <c r="B540" s="50" t="str">
        <f>CONCATENATE(VLOOKUP(C540,'Butiksobjekt steg 2'!A:B,2,FALSE)," ",A540)</f>
        <v>Hemköp Tranås C Pantkärl</v>
      </c>
      <c r="C540" s="43">
        <v>180</v>
      </c>
      <c r="D540" s="45">
        <f t="shared" ca="1" si="24"/>
        <v>40</v>
      </c>
      <c r="E540" s="46">
        <f t="shared" ca="1" si="25"/>
        <v>3</v>
      </c>
      <c r="F540" s="46" t="str">
        <f t="shared" si="26"/>
        <v>Pantkärl</v>
      </c>
      <c r="G540" s="46" t="s">
        <v>2470</v>
      </c>
    </row>
    <row r="541" spans="1:7">
      <c r="A541" s="43" t="s">
        <v>2461</v>
      </c>
      <c r="B541" s="50" t="str">
        <f>CONCATENATE(VLOOKUP(C541,'Butiksobjekt steg 2'!A:B,2,FALSE)," ",A541)</f>
        <v>Hemköp Tranås C Matavfallskärl</v>
      </c>
      <c r="C541" s="43">
        <v>180</v>
      </c>
      <c r="D541" s="45">
        <f t="shared" ca="1" si="24"/>
        <v>13</v>
      </c>
      <c r="E541" s="46">
        <f t="shared" ca="1" si="25"/>
        <v>3</v>
      </c>
      <c r="F541" s="46" t="str">
        <f t="shared" si="26"/>
        <v>Matavfallskärl</v>
      </c>
      <c r="G541" s="46" t="s">
        <v>2468</v>
      </c>
    </row>
    <row r="542" spans="1:7">
      <c r="A542" s="43" t="s">
        <v>2462</v>
      </c>
      <c r="B542" s="50" t="str">
        <f>CONCATENATE(VLOOKUP(C542,'Butiksobjekt steg 2'!A:B,2,FALSE)," ",A542)</f>
        <v>Hemköp Tranås C Kuundvagnsgarage</v>
      </c>
      <c r="C542" s="43">
        <v>180</v>
      </c>
      <c r="D542" s="45">
        <f t="shared" ca="1" si="24"/>
        <v>46</v>
      </c>
      <c r="E542" s="46">
        <f t="shared" ca="1" si="25"/>
        <v>4</v>
      </c>
      <c r="F542" s="46" t="str">
        <f t="shared" si="26"/>
        <v>Kuundvagnsgarage</v>
      </c>
      <c r="G542" s="46" t="s">
        <v>2469</v>
      </c>
    </row>
    <row r="543" spans="1:7">
      <c r="A543" s="43" t="s">
        <v>2460</v>
      </c>
      <c r="B543" s="50" t="str">
        <f>CONCATENATE(VLOOKUP(C543,'Butiksobjekt steg 2'!A:B,2,FALSE)," ",A543)</f>
        <v>Hemköp Trollhättan Hjortmossen Pantkärl</v>
      </c>
      <c r="C543" s="43">
        <v>181</v>
      </c>
      <c r="D543" s="45">
        <f t="shared" ca="1" si="24"/>
        <v>10</v>
      </c>
      <c r="E543" s="46">
        <f t="shared" ca="1" si="25"/>
        <v>1</v>
      </c>
      <c r="F543" s="46" t="str">
        <f t="shared" si="26"/>
        <v>Pantkärl</v>
      </c>
      <c r="G543" s="46" t="s">
        <v>2470</v>
      </c>
    </row>
    <row r="544" spans="1:7">
      <c r="A544" s="43" t="s">
        <v>2461</v>
      </c>
      <c r="B544" s="50" t="str">
        <f>CONCATENATE(VLOOKUP(C544,'Butiksobjekt steg 2'!A:B,2,FALSE)," ",A544)</f>
        <v>Hemköp Trollhättan Hjortmossen Matavfallskärl</v>
      </c>
      <c r="C544" s="43">
        <v>181</v>
      </c>
      <c r="D544" s="45">
        <f t="shared" ca="1" si="24"/>
        <v>45</v>
      </c>
      <c r="E544" s="46">
        <f t="shared" ca="1" si="25"/>
        <v>2</v>
      </c>
      <c r="F544" s="46" t="str">
        <f t="shared" si="26"/>
        <v>Matavfallskärl</v>
      </c>
      <c r="G544" s="46" t="s">
        <v>2468</v>
      </c>
    </row>
    <row r="545" spans="1:7">
      <c r="A545" s="43" t="s">
        <v>2462</v>
      </c>
      <c r="B545" s="50" t="str">
        <f>CONCATENATE(VLOOKUP(C545,'Butiksobjekt steg 2'!A:B,2,FALSE)," ",A545)</f>
        <v>Hemköp Trollhättan Hjortmossen Kuundvagnsgarage</v>
      </c>
      <c r="C545" s="43">
        <v>181</v>
      </c>
      <c r="D545" s="45">
        <f t="shared" ca="1" si="24"/>
        <v>21</v>
      </c>
      <c r="E545" s="46">
        <f t="shared" ca="1" si="25"/>
        <v>5</v>
      </c>
      <c r="F545" s="46" t="str">
        <f t="shared" si="26"/>
        <v>Kuundvagnsgarage</v>
      </c>
      <c r="G545" s="46" t="s">
        <v>2469</v>
      </c>
    </row>
    <row r="546" spans="1:7">
      <c r="A546" s="43" t="s">
        <v>2460</v>
      </c>
      <c r="B546" s="50" t="str">
        <f>CONCATENATE(VLOOKUP(C546,'Butiksobjekt steg 2'!A:B,2,FALSE)," ",A546)</f>
        <v>Hemköp Trollhättan Kungsgatan Pantkärl</v>
      </c>
      <c r="C546" s="43">
        <v>182</v>
      </c>
      <c r="D546" s="45">
        <f t="shared" ca="1" si="24"/>
        <v>41</v>
      </c>
      <c r="E546" s="46">
        <f t="shared" ca="1" si="25"/>
        <v>4</v>
      </c>
      <c r="F546" s="46" t="str">
        <f t="shared" si="26"/>
        <v>Pantkärl</v>
      </c>
      <c r="G546" s="46" t="s">
        <v>2470</v>
      </c>
    </row>
    <row r="547" spans="1:7">
      <c r="A547" s="43" t="s">
        <v>2461</v>
      </c>
      <c r="B547" s="50" t="str">
        <f>CONCATENATE(VLOOKUP(C547,'Butiksobjekt steg 2'!A:B,2,FALSE)," ",A547)</f>
        <v>Hemköp Trollhättan Kungsgatan Matavfallskärl</v>
      </c>
      <c r="C547" s="43">
        <v>182</v>
      </c>
      <c r="D547" s="45">
        <f t="shared" ca="1" si="24"/>
        <v>46</v>
      </c>
      <c r="E547" s="46">
        <f t="shared" ca="1" si="25"/>
        <v>4</v>
      </c>
      <c r="F547" s="46" t="str">
        <f t="shared" si="26"/>
        <v>Matavfallskärl</v>
      </c>
      <c r="G547" s="46" t="s">
        <v>2468</v>
      </c>
    </row>
    <row r="548" spans="1:7">
      <c r="A548" s="43" t="s">
        <v>2462</v>
      </c>
      <c r="B548" s="50" t="str">
        <f>CONCATENATE(VLOOKUP(C548,'Butiksobjekt steg 2'!A:B,2,FALSE)," ",A548)</f>
        <v>Hemköp Trollhättan Kungsgatan Kuundvagnsgarage</v>
      </c>
      <c r="C548" s="43">
        <v>182</v>
      </c>
      <c r="D548" s="45">
        <f t="shared" ca="1" si="24"/>
        <v>20</v>
      </c>
      <c r="E548" s="46">
        <f t="shared" ca="1" si="25"/>
        <v>3</v>
      </c>
      <c r="F548" s="46" t="str">
        <f t="shared" si="26"/>
        <v>Kuundvagnsgarage</v>
      </c>
      <c r="G548" s="46" t="s">
        <v>2469</v>
      </c>
    </row>
    <row r="549" spans="1:7">
      <c r="A549" s="43" t="s">
        <v>2460</v>
      </c>
      <c r="B549" s="50" t="str">
        <f>CONCATENATE(VLOOKUP(C549,'Butiksobjekt steg 2'!A:B,2,FALSE)," ",A549)</f>
        <v>Hemköp Tullinge C Pantkärl</v>
      </c>
      <c r="C549" s="43">
        <v>183</v>
      </c>
      <c r="D549" s="45">
        <f t="shared" ca="1" si="24"/>
        <v>33</v>
      </c>
      <c r="E549" s="46">
        <f t="shared" ca="1" si="25"/>
        <v>2</v>
      </c>
      <c r="F549" s="46" t="str">
        <f t="shared" si="26"/>
        <v>Pantkärl</v>
      </c>
      <c r="G549" s="46" t="s">
        <v>2470</v>
      </c>
    </row>
    <row r="550" spans="1:7">
      <c r="A550" s="43" t="s">
        <v>2461</v>
      </c>
      <c r="B550" s="50" t="str">
        <f>CONCATENATE(VLOOKUP(C550,'Butiksobjekt steg 2'!A:B,2,FALSE)," ",A550)</f>
        <v>Hemköp Tullinge C Matavfallskärl</v>
      </c>
      <c r="C550" s="43">
        <v>183</v>
      </c>
      <c r="D550" s="45">
        <f t="shared" ca="1" si="24"/>
        <v>45</v>
      </c>
      <c r="E550" s="46">
        <f t="shared" ca="1" si="25"/>
        <v>5</v>
      </c>
      <c r="F550" s="46" t="str">
        <f t="shared" si="26"/>
        <v>Matavfallskärl</v>
      </c>
      <c r="G550" s="46" t="s">
        <v>2468</v>
      </c>
    </row>
    <row r="551" spans="1:7">
      <c r="A551" s="43" t="s">
        <v>2462</v>
      </c>
      <c r="B551" s="50" t="str">
        <f>CONCATENATE(VLOOKUP(C551,'Butiksobjekt steg 2'!A:B,2,FALSE)," ",A551)</f>
        <v>Hemköp Tullinge C Kuundvagnsgarage</v>
      </c>
      <c r="C551" s="43">
        <v>183</v>
      </c>
      <c r="D551" s="45">
        <f t="shared" ca="1" si="24"/>
        <v>39</v>
      </c>
      <c r="E551" s="46">
        <f t="shared" ca="1" si="25"/>
        <v>4</v>
      </c>
      <c r="F551" s="46" t="str">
        <f t="shared" si="26"/>
        <v>Kuundvagnsgarage</v>
      </c>
      <c r="G551" s="46" t="s">
        <v>2469</v>
      </c>
    </row>
    <row r="552" spans="1:7">
      <c r="A552" s="43" t="s">
        <v>2460</v>
      </c>
      <c r="B552" s="50" t="str">
        <f>CONCATENATE(VLOOKUP(C552,'Butiksobjekt steg 2'!A:B,2,FALSE)," ",A552)</f>
        <v>Hemköp Tyresö Granängsringen  Pantkärl</v>
      </c>
      <c r="C552" s="43">
        <v>184</v>
      </c>
      <c r="D552" s="45">
        <f t="shared" ca="1" si="24"/>
        <v>8</v>
      </c>
      <c r="E552" s="46">
        <f t="shared" ca="1" si="25"/>
        <v>3</v>
      </c>
      <c r="F552" s="46" t="str">
        <f t="shared" si="26"/>
        <v>Pantkärl</v>
      </c>
      <c r="G552" s="46" t="s">
        <v>2470</v>
      </c>
    </row>
    <row r="553" spans="1:7">
      <c r="A553" s="43" t="s">
        <v>2461</v>
      </c>
      <c r="B553" s="50" t="str">
        <f>CONCATENATE(VLOOKUP(C553,'Butiksobjekt steg 2'!A:B,2,FALSE)," ",A553)</f>
        <v>Hemköp Tyresö Granängsringen  Matavfallskärl</v>
      </c>
      <c r="C553" s="43">
        <v>184</v>
      </c>
      <c r="D553" s="45">
        <f t="shared" ca="1" si="24"/>
        <v>41</v>
      </c>
      <c r="E553" s="46">
        <f t="shared" ca="1" si="25"/>
        <v>5</v>
      </c>
      <c r="F553" s="46" t="str">
        <f t="shared" si="26"/>
        <v>Matavfallskärl</v>
      </c>
      <c r="G553" s="46" t="s">
        <v>2468</v>
      </c>
    </row>
    <row r="554" spans="1:7">
      <c r="A554" s="43" t="s">
        <v>2462</v>
      </c>
      <c r="B554" s="50" t="str">
        <f>CONCATENATE(VLOOKUP(C554,'Butiksobjekt steg 2'!A:B,2,FALSE)," ",A554)</f>
        <v>Hemköp Tyresö Granängsringen  Kuundvagnsgarage</v>
      </c>
      <c r="C554" s="43">
        <v>184</v>
      </c>
      <c r="D554" s="45">
        <f t="shared" ca="1" si="24"/>
        <v>48</v>
      </c>
      <c r="E554" s="46">
        <f t="shared" ca="1" si="25"/>
        <v>3</v>
      </c>
      <c r="F554" s="46" t="str">
        <f t="shared" si="26"/>
        <v>Kuundvagnsgarage</v>
      </c>
      <c r="G554" s="46" t="s">
        <v>2469</v>
      </c>
    </row>
    <row r="555" spans="1:7">
      <c r="A555" s="43" t="s">
        <v>2460</v>
      </c>
      <c r="B555" s="50" t="str">
        <f>CONCATENATE(VLOOKUP(C555,'Butiksobjekt steg 2'!A:B,2,FALSE)," ",A555)</f>
        <v>Hemköp Tyresö Krusboda  Pantkärl</v>
      </c>
      <c r="C555" s="43">
        <v>185</v>
      </c>
      <c r="D555" s="45">
        <f t="shared" ca="1" si="24"/>
        <v>48</v>
      </c>
      <c r="E555" s="46">
        <f t="shared" ca="1" si="25"/>
        <v>4</v>
      </c>
      <c r="F555" s="46" t="str">
        <f t="shared" si="26"/>
        <v>Pantkärl</v>
      </c>
      <c r="G555" s="46" t="s">
        <v>2470</v>
      </c>
    </row>
    <row r="556" spans="1:7">
      <c r="A556" s="43" t="s">
        <v>2461</v>
      </c>
      <c r="B556" s="50" t="str">
        <f>CONCATENATE(VLOOKUP(C556,'Butiksobjekt steg 2'!A:B,2,FALSE)," ",A556)</f>
        <v>Hemköp Tyresö Krusboda  Matavfallskärl</v>
      </c>
      <c r="C556" s="43">
        <v>185</v>
      </c>
      <c r="D556" s="45">
        <f t="shared" ca="1" si="24"/>
        <v>18</v>
      </c>
      <c r="E556" s="46">
        <f t="shared" ca="1" si="25"/>
        <v>3</v>
      </c>
      <c r="F556" s="46" t="str">
        <f t="shared" si="26"/>
        <v>Matavfallskärl</v>
      </c>
      <c r="G556" s="46" t="s">
        <v>2468</v>
      </c>
    </row>
    <row r="557" spans="1:7">
      <c r="A557" s="43" t="s">
        <v>2462</v>
      </c>
      <c r="B557" s="50" t="str">
        <f>CONCATENATE(VLOOKUP(C557,'Butiksobjekt steg 2'!A:B,2,FALSE)," ",A557)</f>
        <v>Hemköp Tyresö Krusboda  Kuundvagnsgarage</v>
      </c>
      <c r="C557" s="43">
        <v>185</v>
      </c>
      <c r="D557" s="45">
        <f t="shared" ca="1" si="24"/>
        <v>33</v>
      </c>
      <c r="E557" s="46">
        <f t="shared" ca="1" si="25"/>
        <v>1</v>
      </c>
      <c r="F557" s="46" t="str">
        <f t="shared" si="26"/>
        <v>Kuundvagnsgarage</v>
      </c>
      <c r="G557" s="46" t="s">
        <v>2469</v>
      </c>
    </row>
    <row r="558" spans="1:7">
      <c r="A558" s="43" t="s">
        <v>2460</v>
      </c>
      <c r="B558" s="50" t="str">
        <f>CONCATENATE(VLOOKUP(C558,'Butiksobjekt steg 2'!A:B,2,FALSE)," ",A558)</f>
        <v>Hemköp Tyresö Trollbäcken C Pantkärl</v>
      </c>
      <c r="C558" s="43">
        <v>186</v>
      </c>
      <c r="D558" s="45">
        <f t="shared" ca="1" si="24"/>
        <v>37</v>
      </c>
      <c r="E558" s="46">
        <f t="shared" ca="1" si="25"/>
        <v>4</v>
      </c>
      <c r="F558" s="46" t="str">
        <f t="shared" si="26"/>
        <v>Pantkärl</v>
      </c>
      <c r="G558" s="46" t="s">
        <v>2470</v>
      </c>
    </row>
    <row r="559" spans="1:7">
      <c r="A559" s="43" t="s">
        <v>2461</v>
      </c>
      <c r="B559" s="50" t="str">
        <f>CONCATENATE(VLOOKUP(C559,'Butiksobjekt steg 2'!A:B,2,FALSE)," ",A559)</f>
        <v>Hemköp Tyresö Trollbäcken C Matavfallskärl</v>
      </c>
      <c r="C559" s="43">
        <v>186</v>
      </c>
      <c r="D559" s="45">
        <f t="shared" ca="1" si="24"/>
        <v>10</v>
      </c>
      <c r="E559" s="46">
        <f t="shared" ca="1" si="25"/>
        <v>1</v>
      </c>
      <c r="F559" s="46" t="str">
        <f t="shared" si="26"/>
        <v>Matavfallskärl</v>
      </c>
      <c r="G559" s="46" t="s">
        <v>2468</v>
      </c>
    </row>
    <row r="560" spans="1:7">
      <c r="A560" s="43" t="s">
        <v>2462</v>
      </c>
      <c r="B560" s="50" t="str">
        <f>CONCATENATE(VLOOKUP(C560,'Butiksobjekt steg 2'!A:B,2,FALSE)," ",A560)</f>
        <v>Hemköp Tyresö Trollbäcken C Kuundvagnsgarage</v>
      </c>
      <c r="C560" s="43">
        <v>186</v>
      </c>
      <c r="D560" s="45">
        <f t="shared" ca="1" si="24"/>
        <v>50</v>
      </c>
      <c r="E560" s="46">
        <f t="shared" ca="1" si="25"/>
        <v>1</v>
      </c>
      <c r="F560" s="46" t="str">
        <f t="shared" si="26"/>
        <v>Kuundvagnsgarage</v>
      </c>
      <c r="G560" s="46" t="s">
        <v>2469</v>
      </c>
    </row>
    <row r="561" spans="1:7">
      <c r="A561" s="43" t="s">
        <v>2460</v>
      </c>
      <c r="B561" s="50" t="str">
        <f>CONCATENATE(VLOOKUP(C561,'Butiksobjekt steg 2'!A:B,2,FALSE)," ",A561)</f>
        <v>Hemköp Tyringe RV 21 Pantkärl</v>
      </c>
      <c r="C561" s="43">
        <v>187</v>
      </c>
      <c r="D561" s="45">
        <f t="shared" ca="1" si="24"/>
        <v>50</v>
      </c>
      <c r="E561" s="46">
        <f t="shared" ca="1" si="25"/>
        <v>3</v>
      </c>
      <c r="F561" s="46" t="str">
        <f t="shared" si="26"/>
        <v>Pantkärl</v>
      </c>
      <c r="G561" s="46" t="s">
        <v>2470</v>
      </c>
    </row>
    <row r="562" spans="1:7">
      <c r="A562" s="43" t="s">
        <v>2461</v>
      </c>
      <c r="B562" s="50" t="str">
        <f>CONCATENATE(VLOOKUP(C562,'Butiksobjekt steg 2'!A:B,2,FALSE)," ",A562)</f>
        <v>Hemköp Tyringe RV 21 Matavfallskärl</v>
      </c>
      <c r="C562" s="43">
        <v>187</v>
      </c>
      <c r="D562" s="45">
        <f t="shared" ca="1" si="24"/>
        <v>41</v>
      </c>
      <c r="E562" s="46">
        <f t="shared" ca="1" si="25"/>
        <v>5</v>
      </c>
      <c r="F562" s="46" t="str">
        <f t="shared" si="26"/>
        <v>Matavfallskärl</v>
      </c>
      <c r="G562" s="46" t="s">
        <v>2468</v>
      </c>
    </row>
    <row r="563" spans="1:7">
      <c r="A563" s="43" t="s">
        <v>2462</v>
      </c>
      <c r="B563" s="50" t="str">
        <f>CONCATENATE(VLOOKUP(C563,'Butiksobjekt steg 2'!A:B,2,FALSE)," ",A563)</f>
        <v>Hemköp Tyringe RV 21 Kuundvagnsgarage</v>
      </c>
      <c r="C563" s="43">
        <v>187</v>
      </c>
      <c r="D563" s="45">
        <f t="shared" ca="1" si="24"/>
        <v>40</v>
      </c>
      <c r="E563" s="46">
        <f t="shared" ca="1" si="25"/>
        <v>3</v>
      </c>
      <c r="F563" s="46" t="str">
        <f t="shared" si="26"/>
        <v>Kuundvagnsgarage</v>
      </c>
      <c r="G563" s="46" t="s">
        <v>2469</v>
      </c>
    </row>
    <row r="564" spans="1:7">
      <c r="A564" s="43" t="s">
        <v>2460</v>
      </c>
      <c r="B564" s="50" t="str">
        <f>CONCATENATE(VLOOKUP(C564,'Butiksobjekt steg 2'!A:B,2,FALSE)," ",A564)</f>
        <v>Hemköp Täby Näsbypark C Pantkärl</v>
      </c>
      <c r="C564" s="43">
        <v>188</v>
      </c>
      <c r="D564" s="45">
        <f t="shared" ca="1" si="24"/>
        <v>19</v>
      </c>
      <c r="E564" s="46">
        <f t="shared" ca="1" si="25"/>
        <v>1</v>
      </c>
      <c r="F564" s="46" t="str">
        <f t="shared" si="26"/>
        <v>Pantkärl</v>
      </c>
      <c r="G564" s="46" t="s">
        <v>2470</v>
      </c>
    </row>
    <row r="565" spans="1:7">
      <c r="A565" s="43" t="s">
        <v>2461</v>
      </c>
      <c r="B565" s="50" t="str">
        <f>CONCATENATE(VLOOKUP(C565,'Butiksobjekt steg 2'!A:B,2,FALSE)," ",A565)</f>
        <v>Hemköp Täby Näsbypark C Matavfallskärl</v>
      </c>
      <c r="C565" s="43">
        <v>188</v>
      </c>
      <c r="D565" s="45">
        <f t="shared" ca="1" si="24"/>
        <v>23</v>
      </c>
      <c r="E565" s="46">
        <f t="shared" ca="1" si="25"/>
        <v>1</v>
      </c>
      <c r="F565" s="46" t="str">
        <f t="shared" si="26"/>
        <v>Matavfallskärl</v>
      </c>
      <c r="G565" s="46" t="s">
        <v>2468</v>
      </c>
    </row>
    <row r="566" spans="1:7">
      <c r="A566" s="43" t="s">
        <v>2462</v>
      </c>
      <c r="B566" s="50" t="str">
        <f>CONCATENATE(VLOOKUP(C566,'Butiksobjekt steg 2'!A:B,2,FALSE)," ",A566)</f>
        <v>Hemköp Täby Näsbypark C Kuundvagnsgarage</v>
      </c>
      <c r="C566" s="43">
        <v>188</v>
      </c>
      <c r="D566" s="45">
        <f t="shared" ca="1" si="24"/>
        <v>49</v>
      </c>
      <c r="E566" s="46">
        <f t="shared" ca="1" si="25"/>
        <v>1</v>
      </c>
      <c r="F566" s="46" t="str">
        <f t="shared" si="26"/>
        <v>Kuundvagnsgarage</v>
      </c>
      <c r="G566" s="46" t="s">
        <v>2469</v>
      </c>
    </row>
    <row r="567" spans="1:7">
      <c r="A567" s="43" t="s">
        <v>2460</v>
      </c>
      <c r="B567" s="50" t="str">
        <f>CONCATENATE(VLOOKUP(C567,'Butiksobjekt steg 2'!A:B,2,FALSE)," ",A567)</f>
        <v>Hemköp Upplands Väsby Runby Pantkärl</v>
      </c>
      <c r="C567" s="43">
        <v>189</v>
      </c>
      <c r="D567" s="45">
        <f t="shared" ca="1" si="24"/>
        <v>22</v>
      </c>
      <c r="E567" s="46">
        <f t="shared" ca="1" si="25"/>
        <v>4</v>
      </c>
      <c r="F567" s="46" t="str">
        <f t="shared" si="26"/>
        <v>Pantkärl</v>
      </c>
      <c r="G567" s="46" t="s">
        <v>2470</v>
      </c>
    </row>
    <row r="568" spans="1:7">
      <c r="A568" s="43" t="s">
        <v>2461</v>
      </c>
      <c r="B568" s="50" t="str">
        <f>CONCATENATE(VLOOKUP(C568,'Butiksobjekt steg 2'!A:B,2,FALSE)," ",A568)</f>
        <v>Hemköp Upplands Väsby Runby Matavfallskärl</v>
      </c>
      <c r="C568" s="43">
        <v>189</v>
      </c>
      <c r="D568" s="45">
        <f t="shared" ca="1" si="24"/>
        <v>19</v>
      </c>
      <c r="E568" s="46">
        <f t="shared" ca="1" si="25"/>
        <v>5</v>
      </c>
      <c r="F568" s="46" t="str">
        <f t="shared" si="26"/>
        <v>Matavfallskärl</v>
      </c>
      <c r="G568" s="46" t="s">
        <v>2468</v>
      </c>
    </row>
    <row r="569" spans="1:7">
      <c r="A569" s="43" t="s">
        <v>2462</v>
      </c>
      <c r="B569" s="50" t="str">
        <f>CONCATENATE(VLOOKUP(C569,'Butiksobjekt steg 2'!A:B,2,FALSE)," ",A569)</f>
        <v>Hemköp Upplands Väsby Runby Kuundvagnsgarage</v>
      </c>
      <c r="C569" s="43">
        <v>189</v>
      </c>
      <c r="D569" s="45">
        <f t="shared" ca="1" si="24"/>
        <v>15</v>
      </c>
      <c r="E569" s="46">
        <f t="shared" ca="1" si="25"/>
        <v>5</v>
      </c>
      <c r="F569" s="46" t="str">
        <f t="shared" si="26"/>
        <v>Kuundvagnsgarage</v>
      </c>
      <c r="G569" s="46" t="s">
        <v>2469</v>
      </c>
    </row>
    <row r="570" spans="1:7">
      <c r="A570" s="43" t="s">
        <v>2460</v>
      </c>
      <c r="B570" s="50" t="str">
        <f>CONCATENATE(VLOOKUP(C570,'Butiksobjekt steg 2'!A:B,2,FALSE)," ",A570)</f>
        <v>Hemköp Uppsala Rosendal Pantkärl</v>
      </c>
      <c r="C570" s="43">
        <v>190</v>
      </c>
      <c r="D570" s="45">
        <f t="shared" ca="1" si="24"/>
        <v>17</v>
      </c>
      <c r="E570" s="46">
        <f t="shared" ca="1" si="25"/>
        <v>5</v>
      </c>
      <c r="F570" s="46" t="str">
        <f t="shared" si="26"/>
        <v>Pantkärl</v>
      </c>
      <c r="G570" s="46" t="s">
        <v>2470</v>
      </c>
    </row>
    <row r="571" spans="1:7">
      <c r="A571" s="43" t="s">
        <v>2461</v>
      </c>
      <c r="B571" s="50" t="str">
        <f>CONCATENATE(VLOOKUP(C571,'Butiksobjekt steg 2'!A:B,2,FALSE)," ",A571)</f>
        <v>Hemköp Uppsala Rosendal Matavfallskärl</v>
      </c>
      <c r="C571" s="43">
        <v>190</v>
      </c>
      <c r="D571" s="45">
        <f t="shared" ca="1" si="24"/>
        <v>43</v>
      </c>
      <c r="E571" s="46">
        <f t="shared" ca="1" si="25"/>
        <v>3</v>
      </c>
      <c r="F571" s="46" t="str">
        <f t="shared" si="26"/>
        <v>Matavfallskärl</v>
      </c>
      <c r="G571" s="46" t="s">
        <v>2468</v>
      </c>
    </row>
    <row r="572" spans="1:7">
      <c r="A572" s="43" t="s">
        <v>2462</v>
      </c>
      <c r="B572" s="50" t="str">
        <f>CONCATENATE(VLOOKUP(C572,'Butiksobjekt steg 2'!A:B,2,FALSE)," ",A572)</f>
        <v>Hemköp Uppsala Rosendal Kuundvagnsgarage</v>
      </c>
      <c r="C572" s="43">
        <v>190</v>
      </c>
      <c r="D572" s="45">
        <f t="shared" ca="1" si="24"/>
        <v>48</v>
      </c>
      <c r="E572" s="46">
        <f t="shared" ca="1" si="25"/>
        <v>3</v>
      </c>
      <c r="F572" s="46" t="str">
        <f t="shared" si="26"/>
        <v>Kuundvagnsgarage</v>
      </c>
      <c r="G572" s="46" t="s">
        <v>2469</v>
      </c>
    </row>
    <row r="573" spans="1:7">
      <c r="A573" s="43" t="s">
        <v>2460</v>
      </c>
      <c r="B573" s="50" t="str">
        <f>CONCATENATE(VLOOKUP(C573,'Butiksobjekt steg 2'!A:B,2,FALSE)," ",A573)</f>
        <v>Hemköp Uppsala Svava Pantkärl</v>
      </c>
      <c r="C573" s="43">
        <v>191</v>
      </c>
      <c r="D573" s="45">
        <f t="shared" ca="1" si="24"/>
        <v>18</v>
      </c>
      <c r="E573" s="46">
        <f t="shared" ca="1" si="25"/>
        <v>4</v>
      </c>
      <c r="F573" s="46" t="str">
        <f t="shared" si="26"/>
        <v>Pantkärl</v>
      </c>
      <c r="G573" s="46" t="s">
        <v>2470</v>
      </c>
    </row>
    <row r="574" spans="1:7">
      <c r="A574" s="43" t="s">
        <v>2461</v>
      </c>
      <c r="B574" s="50" t="str">
        <f>CONCATENATE(VLOOKUP(C574,'Butiksobjekt steg 2'!A:B,2,FALSE)," ",A574)</f>
        <v>Hemköp Uppsala Svava Matavfallskärl</v>
      </c>
      <c r="C574" s="43">
        <v>191</v>
      </c>
      <c r="D574" s="45">
        <f t="shared" ca="1" si="24"/>
        <v>16</v>
      </c>
      <c r="E574" s="46">
        <f t="shared" ca="1" si="25"/>
        <v>4</v>
      </c>
      <c r="F574" s="46" t="str">
        <f t="shared" si="26"/>
        <v>Matavfallskärl</v>
      </c>
      <c r="G574" s="46" t="s">
        <v>2468</v>
      </c>
    </row>
    <row r="575" spans="1:7">
      <c r="A575" s="43" t="s">
        <v>2462</v>
      </c>
      <c r="B575" s="50" t="str">
        <f>CONCATENATE(VLOOKUP(C575,'Butiksobjekt steg 2'!A:B,2,FALSE)," ",A575)</f>
        <v>Hemköp Uppsala Svava Kuundvagnsgarage</v>
      </c>
      <c r="C575" s="43">
        <v>191</v>
      </c>
      <c r="D575" s="45">
        <f t="shared" ca="1" si="24"/>
        <v>45</v>
      </c>
      <c r="E575" s="46">
        <f t="shared" ca="1" si="25"/>
        <v>4</v>
      </c>
      <c r="F575" s="46" t="str">
        <f t="shared" si="26"/>
        <v>Kuundvagnsgarage</v>
      </c>
      <c r="G575" s="46" t="s">
        <v>2469</v>
      </c>
    </row>
    <row r="576" spans="1:7">
      <c r="A576" s="43" t="s">
        <v>2460</v>
      </c>
      <c r="B576" s="50" t="str">
        <f>CONCATENATE(VLOOKUP(C576,'Butiksobjekt steg 2'!A:B,2,FALSE)," ",A576)</f>
        <v>Hemköp Uppsala Västertorg Pantkärl</v>
      </c>
      <c r="C576" s="43">
        <v>192</v>
      </c>
      <c r="D576" s="45">
        <f t="shared" ca="1" si="24"/>
        <v>39</v>
      </c>
      <c r="E576" s="46">
        <f t="shared" ca="1" si="25"/>
        <v>5</v>
      </c>
      <c r="F576" s="46" t="str">
        <f t="shared" si="26"/>
        <v>Pantkärl</v>
      </c>
      <c r="G576" s="46" t="s">
        <v>2470</v>
      </c>
    </row>
    <row r="577" spans="1:7">
      <c r="A577" s="43" t="s">
        <v>2461</v>
      </c>
      <c r="B577" s="50" t="str">
        <f>CONCATENATE(VLOOKUP(C577,'Butiksobjekt steg 2'!A:B,2,FALSE)," ",A577)</f>
        <v>Hemköp Uppsala Västertorg Matavfallskärl</v>
      </c>
      <c r="C577" s="43">
        <v>192</v>
      </c>
      <c r="D577" s="45">
        <f t="shared" ca="1" si="24"/>
        <v>15</v>
      </c>
      <c r="E577" s="46">
        <f t="shared" ca="1" si="25"/>
        <v>2</v>
      </c>
      <c r="F577" s="46" t="str">
        <f t="shared" si="26"/>
        <v>Matavfallskärl</v>
      </c>
      <c r="G577" s="46" t="s">
        <v>2468</v>
      </c>
    </row>
    <row r="578" spans="1:7">
      <c r="A578" s="43" t="s">
        <v>2462</v>
      </c>
      <c r="B578" s="50" t="str">
        <f>CONCATENATE(VLOOKUP(C578,'Butiksobjekt steg 2'!A:B,2,FALSE)," ",A578)</f>
        <v>Hemköp Uppsala Västertorg Kuundvagnsgarage</v>
      </c>
      <c r="C578" s="43">
        <v>192</v>
      </c>
      <c r="D578" s="45">
        <f t="shared" ca="1" si="24"/>
        <v>13</v>
      </c>
      <c r="E578" s="46">
        <f t="shared" ca="1" si="25"/>
        <v>2</v>
      </c>
      <c r="F578" s="46" t="str">
        <f t="shared" si="26"/>
        <v>Kuundvagnsgarage</v>
      </c>
      <c r="G578" s="46" t="s">
        <v>2469</v>
      </c>
    </row>
    <row r="579" spans="1:7">
      <c r="A579" s="43" t="s">
        <v>2460</v>
      </c>
      <c r="B579" s="50" t="str">
        <f>CONCATENATE(VLOOKUP(C579,'Butiksobjekt steg 2'!A:B,2,FALSE)," ",A579)</f>
        <v>Hemköp Valdemarsvik Vammar Pantkärl</v>
      </c>
      <c r="C579" s="43">
        <v>193</v>
      </c>
      <c r="D579" s="45">
        <f t="shared" ca="1" si="24"/>
        <v>29</v>
      </c>
      <c r="E579" s="46">
        <f t="shared" ca="1" si="25"/>
        <v>4</v>
      </c>
      <c r="F579" s="46" t="str">
        <f t="shared" si="26"/>
        <v>Pantkärl</v>
      </c>
      <c r="G579" s="46" t="s">
        <v>2470</v>
      </c>
    </row>
    <row r="580" spans="1:7">
      <c r="A580" s="43" t="s">
        <v>2461</v>
      </c>
      <c r="B580" s="50" t="str">
        <f>CONCATENATE(VLOOKUP(C580,'Butiksobjekt steg 2'!A:B,2,FALSE)," ",A580)</f>
        <v>Hemköp Valdemarsvik Vammar Matavfallskärl</v>
      </c>
      <c r="C580" s="43">
        <v>193</v>
      </c>
      <c r="D580" s="45">
        <f t="shared" ref="D580:D643" ca="1" si="27">RANDBETWEEN(8,53)</f>
        <v>23</v>
      </c>
      <c r="E580" s="46">
        <f t="shared" ref="E580:E643" ca="1" si="28">RANDBETWEEN(1,5)</f>
        <v>1</v>
      </c>
      <c r="F580" s="46" t="str">
        <f t="shared" si="26"/>
        <v>Matavfallskärl</v>
      </c>
      <c r="G580" s="46" t="s">
        <v>2468</v>
      </c>
    </row>
    <row r="581" spans="1:7">
      <c r="A581" s="43" t="s">
        <v>2462</v>
      </c>
      <c r="B581" s="50" t="str">
        <f>CONCATENATE(VLOOKUP(C581,'Butiksobjekt steg 2'!A:B,2,FALSE)," ",A581)</f>
        <v>Hemköp Valdemarsvik Vammar Kuundvagnsgarage</v>
      </c>
      <c r="C581" s="43">
        <v>193</v>
      </c>
      <c r="D581" s="45">
        <f t="shared" ca="1" si="27"/>
        <v>15</v>
      </c>
      <c r="E581" s="46">
        <f t="shared" ca="1" si="28"/>
        <v>5</v>
      </c>
      <c r="F581" s="46" t="str">
        <f t="shared" ref="F581:F644" si="29">A581</f>
        <v>Kuundvagnsgarage</v>
      </c>
      <c r="G581" s="46" t="s">
        <v>2469</v>
      </c>
    </row>
    <row r="582" spans="1:7">
      <c r="A582" s="43" t="s">
        <v>2460</v>
      </c>
      <c r="B582" s="50" t="str">
        <f>CONCATENATE(VLOOKUP(C582,'Butiksobjekt steg 2'!A:B,2,FALSE)," ",A582)</f>
        <v>Hemköp Veddige C Pantkärl</v>
      </c>
      <c r="C582" s="43">
        <v>194</v>
      </c>
      <c r="D582" s="45">
        <f t="shared" ca="1" si="27"/>
        <v>40</v>
      </c>
      <c r="E582" s="46">
        <f t="shared" ca="1" si="28"/>
        <v>1</v>
      </c>
      <c r="F582" s="46" t="str">
        <f t="shared" si="29"/>
        <v>Pantkärl</v>
      </c>
      <c r="G582" s="46" t="s">
        <v>2470</v>
      </c>
    </row>
    <row r="583" spans="1:7">
      <c r="A583" s="43" t="s">
        <v>2461</v>
      </c>
      <c r="B583" s="50" t="str">
        <f>CONCATENATE(VLOOKUP(C583,'Butiksobjekt steg 2'!A:B,2,FALSE)," ",A583)</f>
        <v>Hemköp Veddige C Matavfallskärl</v>
      </c>
      <c r="C583" s="43">
        <v>194</v>
      </c>
      <c r="D583" s="45">
        <f t="shared" ca="1" si="27"/>
        <v>39</v>
      </c>
      <c r="E583" s="46">
        <f t="shared" ca="1" si="28"/>
        <v>1</v>
      </c>
      <c r="F583" s="46" t="str">
        <f t="shared" si="29"/>
        <v>Matavfallskärl</v>
      </c>
      <c r="G583" s="46" t="s">
        <v>2468</v>
      </c>
    </row>
    <row r="584" spans="1:7">
      <c r="A584" s="43" t="s">
        <v>2462</v>
      </c>
      <c r="B584" s="50" t="str">
        <f>CONCATENATE(VLOOKUP(C584,'Butiksobjekt steg 2'!A:B,2,FALSE)," ",A584)</f>
        <v>Hemköp Veddige C Kuundvagnsgarage</v>
      </c>
      <c r="C584" s="43">
        <v>194</v>
      </c>
      <c r="D584" s="45">
        <f t="shared" ca="1" si="27"/>
        <v>11</v>
      </c>
      <c r="E584" s="46">
        <f t="shared" ca="1" si="28"/>
        <v>3</v>
      </c>
      <c r="F584" s="46" t="str">
        <f t="shared" si="29"/>
        <v>Kuundvagnsgarage</v>
      </c>
      <c r="G584" s="46" t="s">
        <v>2469</v>
      </c>
    </row>
    <row r="585" spans="1:7">
      <c r="A585" s="43" t="s">
        <v>2460</v>
      </c>
      <c r="B585" s="50" t="str">
        <f>CONCATENATE(VLOOKUP(C585,'Butiksobjekt steg 2'!A:B,2,FALSE)," ",A585)</f>
        <v>Hemköp Vendelsö Sågen Pantkärl</v>
      </c>
      <c r="C585" s="43">
        <v>195</v>
      </c>
      <c r="D585" s="45">
        <f t="shared" ca="1" si="27"/>
        <v>26</v>
      </c>
      <c r="E585" s="46">
        <f t="shared" ca="1" si="28"/>
        <v>3</v>
      </c>
      <c r="F585" s="46" t="str">
        <f t="shared" si="29"/>
        <v>Pantkärl</v>
      </c>
      <c r="G585" s="46" t="s">
        <v>2470</v>
      </c>
    </row>
    <row r="586" spans="1:7">
      <c r="A586" s="43" t="s">
        <v>2461</v>
      </c>
      <c r="B586" s="50" t="str">
        <f>CONCATENATE(VLOOKUP(C586,'Butiksobjekt steg 2'!A:B,2,FALSE)," ",A586)</f>
        <v>Hemköp Vendelsö Sågen Matavfallskärl</v>
      </c>
      <c r="C586" s="43">
        <v>195</v>
      </c>
      <c r="D586" s="45">
        <f t="shared" ca="1" si="27"/>
        <v>33</v>
      </c>
      <c r="E586" s="46">
        <f t="shared" ca="1" si="28"/>
        <v>4</v>
      </c>
      <c r="F586" s="46" t="str">
        <f t="shared" si="29"/>
        <v>Matavfallskärl</v>
      </c>
      <c r="G586" s="46" t="s">
        <v>2468</v>
      </c>
    </row>
    <row r="587" spans="1:7">
      <c r="A587" s="43" t="s">
        <v>2462</v>
      </c>
      <c r="B587" s="50" t="str">
        <f>CONCATENATE(VLOOKUP(C587,'Butiksobjekt steg 2'!A:B,2,FALSE)," ",A587)</f>
        <v>Hemköp Vendelsö Sågen Kuundvagnsgarage</v>
      </c>
      <c r="C587" s="43">
        <v>195</v>
      </c>
      <c r="D587" s="45">
        <f t="shared" ca="1" si="27"/>
        <v>11</v>
      </c>
      <c r="E587" s="46">
        <f t="shared" ca="1" si="28"/>
        <v>4</v>
      </c>
      <c r="F587" s="46" t="str">
        <f t="shared" si="29"/>
        <v>Kuundvagnsgarage</v>
      </c>
      <c r="G587" s="46" t="s">
        <v>2469</v>
      </c>
    </row>
    <row r="588" spans="1:7">
      <c r="A588" s="43" t="s">
        <v>2460</v>
      </c>
      <c r="B588" s="50" t="str">
        <f>CONCATENATE(VLOOKUP(C588,'Butiksobjekt steg 2'!A:B,2,FALSE)," ",A588)</f>
        <v>Hemköp Vrigstad C Pantkärl</v>
      </c>
      <c r="C588" s="43">
        <v>196</v>
      </c>
      <c r="D588" s="45">
        <f t="shared" ca="1" si="27"/>
        <v>48</v>
      </c>
      <c r="E588" s="46">
        <f t="shared" ca="1" si="28"/>
        <v>3</v>
      </c>
      <c r="F588" s="46" t="str">
        <f t="shared" si="29"/>
        <v>Pantkärl</v>
      </c>
      <c r="G588" s="46" t="s">
        <v>2470</v>
      </c>
    </row>
    <row r="589" spans="1:7">
      <c r="A589" s="43" t="s">
        <v>2461</v>
      </c>
      <c r="B589" s="50" t="str">
        <f>CONCATENATE(VLOOKUP(C589,'Butiksobjekt steg 2'!A:B,2,FALSE)," ",A589)</f>
        <v>Hemköp Vrigstad C Matavfallskärl</v>
      </c>
      <c r="C589" s="43">
        <v>196</v>
      </c>
      <c r="D589" s="45">
        <f t="shared" ca="1" si="27"/>
        <v>32</v>
      </c>
      <c r="E589" s="46">
        <f t="shared" ca="1" si="28"/>
        <v>2</v>
      </c>
      <c r="F589" s="46" t="str">
        <f t="shared" si="29"/>
        <v>Matavfallskärl</v>
      </c>
      <c r="G589" s="46" t="s">
        <v>2468</v>
      </c>
    </row>
    <row r="590" spans="1:7">
      <c r="A590" s="43" t="s">
        <v>2462</v>
      </c>
      <c r="B590" s="50" t="str">
        <f>CONCATENATE(VLOOKUP(C590,'Butiksobjekt steg 2'!A:B,2,FALSE)," ",A590)</f>
        <v>Hemköp Vrigstad C Kuundvagnsgarage</v>
      </c>
      <c r="C590" s="43">
        <v>196</v>
      </c>
      <c r="D590" s="45">
        <f t="shared" ca="1" si="27"/>
        <v>13</v>
      </c>
      <c r="E590" s="46">
        <f t="shared" ca="1" si="28"/>
        <v>3</v>
      </c>
      <c r="F590" s="46" t="str">
        <f t="shared" si="29"/>
        <v>Kuundvagnsgarage</v>
      </c>
      <c r="G590" s="46" t="s">
        <v>2469</v>
      </c>
    </row>
    <row r="591" spans="1:7">
      <c r="A591" s="43" t="s">
        <v>2460</v>
      </c>
      <c r="B591" s="50" t="str">
        <f>CONCATENATE(VLOOKUP(C591,'Butiksobjekt steg 2'!A:B,2,FALSE)," ",A591)</f>
        <v>Hemköp Vänersborg Sundsgatan Pantkärl</v>
      </c>
      <c r="C591" s="43">
        <v>197</v>
      </c>
      <c r="D591" s="45">
        <f t="shared" ca="1" si="27"/>
        <v>38</v>
      </c>
      <c r="E591" s="46">
        <f t="shared" ca="1" si="28"/>
        <v>3</v>
      </c>
      <c r="F591" s="46" t="str">
        <f t="shared" si="29"/>
        <v>Pantkärl</v>
      </c>
      <c r="G591" s="46" t="s">
        <v>2470</v>
      </c>
    </row>
    <row r="592" spans="1:7">
      <c r="A592" s="43" t="s">
        <v>2461</v>
      </c>
      <c r="B592" s="50" t="str">
        <f>CONCATENATE(VLOOKUP(C592,'Butiksobjekt steg 2'!A:B,2,FALSE)," ",A592)</f>
        <v>Hemköp Vänersborg Sundsgatan Matavfallskärl</v>
      </c>
      <c r="C592" s="43">
        <v>197</v>
      </c>
      <c r="D592" s="45">
        <f t="shared" ca="1" si="27"/>
        <v>50</v>
      </c>
      <c r="E592" s="46">
        <f t="shared" ca="1" si="28"/>
        <v>3</v>
      </c>
      <c r="F592" s="46" t="str">
        <f t="shared" si="29"/>
        <v>Matavfallskärl</v>
      </c>
      <c r="G592" s="46" t="s">
        <v>2468</v>
      </c>
    </row>
    <row r="593" spans="1:7">
      <c r="A593" s="43" t="s">
        <v>2462</v>
      </c>
      <c r="B593" s="50" t="str">
        <f>CONCATENATE(VLOOKUP(C593,'Butiksobjekt steg 2'!A:B,2,FALSE)," ",A593)</f>
        <v>Hemköp Vänersborg Sundsgatan Kuundvagnsgarage</v>
      </c>
      <c r="C593" s="43">
        <v>197</v>
      </c>
      <c r="D593" s="45">
        <f t="shared" ca="1" si="27"/>
        <v>52</v>
      </c>
      <c r="E593" s="46">
        <f t="shared" ca="1" si="28"/>
        <v>5</v>
      </c>
      <c r="F593" s="46" t="str">
        <f t="shared" si="29"/>
        <v>Kuundvagnsgarage</v>
      </c>
      <c r="G593" s="46" t="s">
        <v>2469</v>
      </c>
    </row>
    <row r="594" spans="1:7">
      <c r="A594" s="43" t="s">
        <v>2460</v>
      </c>
      <c r="B594" s="50" t="str">
        <f>CONCATENATE(VLOOKUP(C594,'Butiksobjekt steg 2'!A:B,2,FALSE)," ",A594)</f>
        <v>Hemköp Vänersborg Torpa Pantkärl</v>
      </c>
      <c r="C594" s="43">
        <v>198</v>
      </c>
      <c r="D594" s="45">
        <f t="shared" ca="1" si="27"/>
        <v>47</v>
      </c>
      <c r="E594" s="46">
        <f t="shared" ca="1" si="28"/>
        <v>5</v>
      </c>
      <c r="F594" s="46" t="str">
        <f t="shared" si="29"/>
        <v>Pantkärl</v>
      </c>
      <c r="G594" s="46" t="s">
        <v>2470</v>
      </c>
    </row>
    <row r="595" spans="1:7">
      <c r="A595" s="43" t="s">
        <v>2461</v>
      </c>
      <c r="B595" s="50" t="str">
        <f>CONCATENATE(VLOOKUP(C595,'Butiksobjekt steg 2'!A:B,2,FALSE)," ",A595)</f>
        <v>Hemköp Vänersborg Torpa Matavfallskärl</v>
      </c>
      <c r="C595" s="43">
        <v>198</v>
      </c>
      <c r="D595" s="45">
        <f t="shared" ca="1" si="27"/>
        <v>18</v>
      </c>
      <c r="E595" s="46">
        <f t="shared" ca="1" si="28"/>
        <v>5</v>
      </c>
      <c r="F595" s="46" t="str">
        <f t="shared" si="29"/>
        <v>Matavfallskärl</v>
      </c>
      <c r="G595" s="46" t="s">
        <v>2468</v>
      </c>
    </row>
    <row r="596" spans="1:7">
      <c r="A596" s="43" t="s">
        <v>2462</v>
      </c>
      <c r="B596" s="50" t="str">
        <f>CONCATENATE(VLOOKUP(C596,'Butiksobjekt steg 2'!A:B,2,FALSE)," ",A596)</f>
        <v>Hemköp Vänersborg Torpa Kuundvagnsgarage</v>
      </c>
      <c r="C596" s="43">
        <v>198</v>
      </c>
      <c r="D596" s="45">
        <f t="shared" ca="1" si="27"/>
        <v>30</v>
      </c>
      <c r="E596" s="46">
        <f t="shared" ca="1" si="28"/>
        <v>3</v>
      </c>
      <c r="F596" s="46" t="str">
        <f t="shared" si="29"/>
        <v>Kuundvagnsgarage</v>
      </c>
      <c r="G596" s="46" t="s">
        <v>2469</v>
      </c>
    </row>
    <row r="597" spans="1:7">
      <c r="A597" s="43" t="s">
        <v>2460</v>
      </c>
      <c r="B597" s="50" t="str">
        <f>CONCATENATE(VLOOKUP(C597,'Butiksobjekt steg 2'!A:B,2,FALSE)," ",A597)</f>
        <v>Hemköp Värnamo C Pantkärl</v>
      </c>
      <c r="C597" s="43">
        <v>199</v>
      </c>
      <c r="D597" s="45">
        <f t="shared" ca="1" si="27"/>
        <v>28</v>
      </c>
      <c r="E597" s="46">
        <f t="shared" ca="1" si="28"/>
        <v>5</v>
      </c>
      <c r="F597" s="46" t="str">
        <f t="shared" si="29"/>
        <v>Pantkärl</v>
      </c>
      <c r="G597" s="46" t="s">
        <v>2470</v>
      </c>
    </row>
    <row r="598" spans="1:7">
      <c r="A598" s="43" t="s">
        <v>2461</v>
      </c>
      <c r="B598" s="50" t="str">
        <f>CONCATENATE(VLOOKUP(C598,'Butiksobjekt steg 2'!A:B,2,FALSE)," ",A598)</f>
        <v>Hemköp Värnamo C Matavfallskärl</v>
      </c>
      <c r="C598" s="43">
        <v>199</v>
      </c>
      <c r="D598" s="45">
        <f t="shared" ca="1" si="27"/>
        <v>13</v>
      </c>
      <c r="E598" s="46">
        <f t="shared" ca="1" si="28"/>
        <v>2</v>
      </c>
      <c r="F598" s="46" t="str">
        <f t="shared" si="29"/>
        <v>Matavfallskärl</v>
      </c>
      <c r="G598" s="46" t="s">
        <v>2468</v>
      </c>
    </row>
    <row r="599" spans="1:7">
      <c r="A599" s="43" t="s">
        <v>2462</v>
      </c>
      <c r="B599" s="50" t="str">
        <f>CONCATENATE(VLOOKUP(C599,'Butiksobjekt steg 2'!A:B,2,FALSE)," ",A599)</f>
        <v>Hemköp Värnamo C Kuundvagnsgarage</v>
      </c>
      <c r="C599" s="43">
        <v>199</v>
      </c>
      <c r="D599" s="45">
        <f t="shared" ca="1" si="27"/>
        <v>21</v>
      </c>
      <c r="E599" s="46">
        <f t="shared" ca="1" si="28"/>
        <v>2</v>
      </c>
      <c r="F599" s="46" t="str">
        <f t="shared" si="29"/>
        <v>Kuundvagnsgarage</v>
      </c>
      <c r="G599" s="46" t="s">
        <v>2469</v>
      </c>
    </row>
    <row r="600" spans="1:7">
      <c r="A600" s="43" t="s">
        <v>2460</v>
      </c>
      <c r="B600" s="50" t="str">
        <f>CONCATENATE(VLOOKUP(C600,'Butiksobjekt steg 2'!A:B,2,FALSE)," ",A600)</f>
        <v>Hemköp Västerhaninge C Pantkärl</v>
      </c>
      <c r="C600" s="43">
        <v>200</v>
      </c>
      <c r="D600" s="45">
        <f t="shared" ca="1" si="27"/>
        <v>10</v>
      </c>
      <c r="E600" s="46">
        <f t="shared" ca="1" si="28"/>
        <v>4</v>
      </c>
      <c r="F600" s="46" t="str">
        <f t="shared" si="29"/>
        <v>Pantkärl</v>
      </c>
      <c r="G600" s="46" t="s">
        <v>2470</v>
      </c>
    </row>
    <row r="601" spans="1:7">
      <c r="A601" s="43" t="s">
        <v>2461</v>
      </c>
      <c r="B601" s="50" t="str">
        <f>CONCATENATE(VLOOKUP(C601,'Butiksobjekt steg 2'!A:B,2,FALSE)," ",A601)</f>
        <v>Hemköp Västerhaninge C Matavfallskärl</v>
      </c>
      <c r="C601" s="43">
        <v>200</v>
      </c>
      <c r="D601" s="45">
        <f t="shared" ca="1" si="27"/>
        <v>25</v>
      </c>
      <c r="E601" s="46">
        <f t="shared" ca="1" si="28"/>
        <v>2</v>
      </c>
      <c r="F601" s="46" t="str">
        <f t="shared" si="29"/>
        <v>Matavfallskärl</v>
      </c>
      <c r="G601" s="46" t="s">
        <v>2468</v>
      </c>
    </row>
    <row r="602" spans="1:7">
      <c r="A602" s="43" t="s">
        <v>2462</v>
      </c>
      <c r="B602" s="50" t="str">
        <f>CONCATENATE(VLOOKUP(C602,'Butiksobjekt steg 2'!A:B,2,FALSE)," ",A602)</f>
        <v>Hemköp Västerhaninge C Kuundvagnsgarage</v>
      </c>
      <c r="C602" s="43">
        <v>200</v>
      </c>
      <c r="D602" s="45">
        <f t="shared" ca="1" si="27"/>
        <v>47</v>
      </c>
      <c r="E602" s="46">
        <f t="shared" ca="1" si="28"/>
        <v>5</v>
      </c>
      <c r="F602" s="46" t="str">
        <f t="shared" si="29"/>
        <v>Kuundvagnsgarage</v>
      </c>
      <c r="G602" s="46" t="s">
        <v>2469</v>
      </c>
    </row>
    <row r="603" spans="1:7">
      <c r="A603" s="43" t="s">
        <v>2460</v>
      </c>
      <c r="B603" s="50" t="str">
        <f>CONCATENATE(VLOOKUP(C603,'Butiksobjekt steg 2'!A:B,2,FALSE)," ",A603)</f>
        <v>Hemköp Västervik C Pantkärl</v>
      </c>
      <c r="C603" s="43">
        <v>201</v>
      </c>
      <c r="D603" s="45">
        <f t="shared" ca="1" si="27"/>
        <v>30</v>
      </c>
      <c r="E603" s="46">
        <f t="shared" ca="1" si="28"/>
        <v>5</v>
      </c>
      <c r="F603" s="46" t="str">
        <f t="shared" si="29"/>
        <v>Pantkärl</v>
      </c>
      <c r="G603" s="46" t="s">
        <v>2470</v>
      </c>
    </row>
    <row r="604" spans="1:7">
      <c r="A604" s="43" t="s">
        <v>2461</v>
      </c>
      <c r="B604" s="50" t="str">
        <f>CONCATENATE(VLOOKUP(C604,'Butiksobjekt steg 2'!A:B,2,FALSE)," ",A604)</f>
        <v>Hemköp Västervik C Matavfallskärl</v>
      </c>
      <c r="C604" s="43">
        <v>201</v>
      </c>
      <c r="D604" s="45">
        <f t="shared" ca="1" si="27"/>
        <v>42</v>
      </c>
      <c r="E604" s="46">
        <f t="shared" ca="1" si="28"/>
        <v>3</v>
      </c>
      <c r="F604" s="46" t="str">
        <f t="shared" si="29"/>
        <v>Matavfallskärl</v>
      </c>
      <c r="G604" s="46" t="s">
        <v>2468</v>
      </c>
    </row>
    <row r="605" spans="1:7">
      <c r="A605" s="43" t="s">
        <v>2462</v>
      </c>
      <c r="B605" s="50" t="str">
        <f>CONCATENATE(VLOOKUP(C605,'Butiksobjekt steg 2'!A:B,2,FALSE)," ",A605)</f>
        <v>Hemköp Västervik C Kuundvagnsgarage</v>
      </c>
      <c r="C605" s="43">
        <v>201</v>
      </c>
      <c r="D605" s="45">
        <f t="shared" ca="1" si="27"/>
        <v>40</v>
      </c>
      <c r="E605" s="46">
        <f t="shared" ca="1" si="28"/>
        <v>2</v>
      </c>
      <c r="F605" s="46" t="str">
        <f t="shared" si="29"/>
        <v>Kuundvagnsgarage</v>
      </c>
      <c r="G605" s="46" t="s">
        <v>2469</v>
      </c>
    </row>
    <row r="606" spans="1:7">
      <c r="A606" s="43" t="s">
        <v>2460</v>
      </c>
      <c r="B606" s="50" t="str">
        <f>CONCATENATE(VLOOKUP(C606,'Butiksobjekt steg 2'!A:B,2,FALSE)," ",A606)</f>
        <v>Hemköp Västerås City Pantkärl</v>
      </c>
      <c r="C606" s="43">
        <v>202</v>
      </c>
      <c r="D606" s="45">
        <f t="shared" ca="1" si="27"/>
        <v>20</v>
      </c>
      <c r="E606" s="46">
        <f t="shared" ca="1" si="28"/>
        <v>4</v>
      </c>
      <c r="F606" s="46" t="str">
        <f t="shared" si="29"/>
        <v>Pantkärl</v>
      </c>
      <c r="G606" s="46" t="s">
        <v>2470</v>
      </c>
    </row>
    <row r="607" spans="1:7">
      <c r="A607" s="43" t="s">
        <v>2461</v>
      </c>
      <c r="B607" s="50" t="str">
        <f>CONCATENATE(VLOOKUP(C607,'Butiksobjekt steg 2'!A:B,2,FALSE)," ",A607)</f>
        <v>Hemköp Västerås City Matavfallskärl</v>
      </c>
      <c r="C607" s="43">
        <v>202</v>
      </c>
      <c r="D607" s="45">
        <f t="shared" ca="1" si="27"/>
        <v>9</v>
      </c>
      <c r="E607" s="46">
        <f t="shared" ca="1" si="28"/>
        <v>2</v>
      </c>
      <c r="F607" s="46" t="str">
        <f t="shared" si="29"/>
        <v>Matavfallskärl</v>
      </c>
      <c r="G607" s="46" t="s">
        <v>2468</v>
      </c>
    </row>
    <row r="608" spans="1:7">
      <c r="A608" s="43" t="s">
        <v>2462</v>
      </c>
      <c r="B608" s="50" t="str">
        <f>CONCATENATE(VLOOKUP(C608,'Butiksobjekt steg 2'!A:B,2,FALSE)," ",A608)</f>
        <v>Hemköp Västerås City Kuundvagnsgarage</v>
      </c>
      <c r="C608" s="43">
        <v>202</v>
      </c>
      <c r="D608" s="45">
        <f t="shared" ca="1" si="27"/>
        <v>26</v>
      </c>
      <c r="E608" s="46">
        <f t="shared" ca="1" si="28"/>
        <v>2</v>
      </c>
      <c r="F608" s="46" t="str">
        <f t="shared" si="29"/>
        <v>Kuundvagnsgarage</v>
      </c>
      <c r="G608" s="46" t="s">
        <v>2469</v>
      </c>
    </row>
    <row r="609" spans="1:7">
      <c r="A609" s="43" t="s">
        <v>2460</v>
      </c>
      <c r="B609" s="50" t="str">
        <f>CONCATENATE(VLOOKUP(C609,'Butiksobjekt steg 2'!A:B,2,FALSE)," ",A609)</f>
        <v>Hemköp Västerås Malmaberg Pantkärl</v>
      </c>
      <c r="C609" s="43">
        <v>203</v>
      </c>
      <c r="D609" s="45">
        <f t="shared" ca="1" si="27"/>
        <v>32</v>
      </c>
      <c r="E609" s="46">
        <f t="shared" ca="1" si="28"/>
        <v>3</v>
      </c>
      <c r="F609" s="46" t="str">
        <f t="shared" si="29"/>
        <v>Pantkärl</v>
      </c>
      <c r="G609" s="46" t="s">
        <v>2470</v>
      </c>
    </row>
    <row r="610" spans="1:7">
      <c r="A610" s="43" t="s">
        <v>2461</v>
      </c>
      <c r="B610" s="50" t="str">
        <f>CONCATENATE(VLOOKUP(C610,'Butiksobjekt steg 2'!A:B,2,FALSE)," ",A610)</f>
        <v>Hemköp Västerås Malmaberg Matavfallskärl</v>
      </c>
      <c r="C610" s="43">
        <v>203</v>
      </c>
      <c r="D610" s="45">
        <f t="shared" ca="1" si="27"/>
        <v>38</v>
      </c>
      <c r="E610" s="46">
        <f t="shared" ca="1" si="28"/>
        <v>3</v>
      </c>
      <c r="F610" s="46" t="str">
        <f t="shared" si="29"/>
        <v>Matavfallskärl</v>
      </c>
      <c r="G610" s="46" t="s">
        <v>2468</v>
      </c>
    </row>
    <row r="611" spans="1:7">
      <c r="A611" s="43" t="s">
        <v>2462</v>
      </c>
      <c r="B611" s="50" t="str">
        <f>CONCATENATE(VLOOKUP(C611,'Butiksobjekt steg 2'!A:B,2,FALSE)," ",A611)</f>
        <v>Hemköp Västerås Malmaberg Kuundvagnsgarage</v>
      </c>
      <c r="C611" s="43">
        <v>203</v>
      </c>
      <c r="D611" s="45">
        <f t="shared" ca="1" si="27"/>
        <v>17</v>
      </c>
      <c r="E611" s="46">
        <f t="shared" ca="1" si="28"/>
        <v>1</v>
      </c>
      <c r="F611" s="46" t="str">
        <f t="shared" si="29"/>
        <v>Kuundvagnsgarage</v>
      </c>
      <c r="G611" s="46" t="s">
        <v>2469</v>
      </c>
    </row>
    <row r="612" spans="1:7">
      <c r="A612" s="43" t="s">
        <v>2460</v>
      </c>
      <c r="B612" s="50" t="str">
        <f>CONCATENATE(VLOOKUP(C612,'Butiksobjekt steg 2'!A:B,2,FALSE)," ",A612)</f>
        <v>Hemköp Västerås Östermälarstrand  Pantkärl</v>
      </c>
      <c r="C612" s="43">
        <v>204</v>
      </c>
      <c r="D612" s="45">
        <f t="shared" ca="1" si="27"/>
        <v>14</v>
      </c>
      <c r="E612" s="46">
        <f t="shared" ca="1" si="28"/>
        <v>4</v>
      </c>
      <c r="F612" s="46" t="str">
        <f t="shared" si="29"/>
        <v>Pantkärl</v>
      </c>
      <c r="G612" s="46" t="s">
        <v>2470</v>
      </c>
    </row>
    <row r="613" spans="1:7">
      <c r="A613" s="43" t="s">
        <v>2461</v>
      </c>
      <c r="B613" s="50" t="str">
        <f>CONCATENATE(VLOOKUP(C613,'Butiksobjekt steg 2'!A:B,2,FALSE)," ",A613)</f>
        <v>Hemköp Västerås Östermälarstrand  Matavfallskärl</v>
      </c>
      <c r="C613" s="43">
        <v>204</v>
      </c>
      <c r="D613" s="45">
        <f t="shared" ca="1" si="27"/>
        <v>15</v>
      </c>
      <c r="E613" s="46">
        <f t="shared" ca="1" si="28"/>
        <v>5</v>
      </c>
      <c r="F613" s="46" t="str">
        <f t="shared" si="29"/>
        <v>Matavfallskärl</v>
      </c>
      <c r="G613" s="46" t="s">
        <v>2468</v>
      </c>
    </row>
    <row r="614" spans="1:7">
      <c r="A614" s="43" t="s">
        <v>2462</v>
      </c>
      <c r="B614" s="50" t="str">
        <f>CONCATENATE(VLOOKUP(C614,'Butiksobjekt steg 2'!A:B,2,FALSE)," ",A614)</f>
        <v>Hemköp Västerås Östermälarstrand  Kuundvagnsgarage</v>
      </c>
      <c r="C614" s="43">
        <v>204</v>
      </c>
      <c r="D614" s="45">
        <f t="shared" ca="1" si="27"/>
        <v>24</v>
      </c>
      <c r="E614" s="46">
        <f t="shared" ca="1" si="28"/>
        <v>3</v>
      </c>
      <c r="F614" s="46" t="str">
        <f t="shared" si="29"/>
        <v>Kuundvagnsgarage</v>
      </c>
      <c r="G614" s="46" t="s">
        <v>2469</v>
      </c>
    </row>
    <row r="615" spans="1:7">
      <c r="A615" s="43" t="s">
        <v>2460</v>
      </c>
      <c r="B615" s="50" t="str">
        <f>CONCATENATE(VLOOKUP(C615,'Butiksobjekt steg 2'!A:B,2,FALSE)," ",A615)</f>
        <v>Hemköp Växjö Högstorp Pantkärl</v>
      </c>
      <c r="C615" s="43">
        <v>205</v>
      </c>
      <c r="D615" s="45">
        <f t="shared" ca="1" si="27"/>
        <v>33</v>
      </c>
      <c r="E615" s="46">
        <f t="shared" ca="1" si="28"/>
        <v>5</v>
      </c>
      <c r="F615" s="46" t="str">
        <f t="shared" si="29"/>
        <v>Pantkärl</v>
      </c>
      <c r="G615" s="46" t="s">
        <v>2470</v>
      </c>
    </row>
    <row r="616" spans="1:7">
      <c r="A616" s="43" t="s">
        <v>2461</v>
      </c>
      <c r="B616" s="50" t="str">
        <f>CONCATENATE(VLOOKUP(C616,'Butiksobjekt steg 2'!A:B,2,FALSE)," ",A616)</f>
        <v>Hemköp Växjö Högstorp Matavfallskärl</v>
      </c>
      <c r="C616" s="43">
        <v>205</v>
      </c>
      <c r="D616" s="45">
        <f t="shared" ca="1" si="27"/>
        <v>49</v>
      </c>
      <c r="E616" s="46">
        <f t="shared" ca="1" si="28"/>
        <v>3</v>
      </c>
      <c r="F616" s="46" t="str">
        <f t="shared" si="29"/>
        <v>Matavfallskärl</v>
      </c>
      <c r="G616" s="46" t="s">
        <v>2468</v>
      </c>
    </row>
    <row r="617" spans="1:7">
      <c r="A617" s="43" t="s">
        <v>2462</v>
      </c>
      <c r="B617" s="50" t="str">
        <f>CONCATENATE(VLOOKUP(C617,'Butiksobjekt steg 2'!A:B,2,FALSE)," ",A617)</f>
        <v>Hemköp Växjö Högstorp Kuundvagnsgarage</v>
      </c>
      <c r="C617" s="43">
        <v>205</v>
      </c>
      <c r="D617" s="45">
        <f t="shared" ca="1" si="27"/>
        <v>51</v>
      </c>
      <c r="E617" s="46">
        <f t="shared" ca="1" si="28"/>
        <v>5</v>
      </c>
      <c r="F617" s="46" t="str">
        <f t="shared" si="29"/>
        <v>Kuundvagnsgarage</v>
      </c>
      <c r="G617" s="46" t="s">
        <v>2469</v>
      </c>
    </row>
    <row r="618" spans="1:7">
      <c r="A618" s="43" t="s">
        <v>2460</v>
      </c>
      <c r="B618" s="50" t="str">
        <f>CONCATENATE(VLOOKUP(C618,'Butiksobjekt steg 2'!A:B,2,FALSE)," ",A618)</f>
        <v>Hemköp Örebro Lucullus Pantkärl</v>
      </c>
      <c r="C618" s="43">
        <v>206</v>
      </c>
      <c r="D618" s="45">
        <f t="shared" ca="1" si="27"/>
        <v>21</v>
      </c>
      <c r="E618" s="46">
        <f t="shared" ca="1" si="28"/>
        <v>2</v>
      </c>
      <c r="F618" s="46" t="str">
        <f t="shared" si="29"/>
        <v>Pantkärl</v>
      </c>
      <c r="G618" s="46" t="s">
        <v>2470</v>
      </c>
    </row>
    <row r="619" spans="1:7">
      <c r="A619" s="43" t="s">
        <v>2461</v>
      </c>
      <c r="B619" s="50" t="str">
        <f>CONCATENATE(VLOOKUP(C619,'Butiksobjekt steg 2'!A:B,2,FALSE)," ",A619)</f>
        <v>Hemköp Örebro Lucullus Matavfallskärl</v>
      </c>
      <c r="C619" s="43">
        <v>206</v>
      </c>
      <c r="D619" s="45">
        <f t="shared" ca="1" si="27"/>
        <v>30</v>
      </c>
      <c r="E619" s="46">
        <f t="shared" ca="1" si="28"/>
        <v>1</v>
      </c>
      <c r="F619" s="46" t="str">
        <f t="shared" si="29"/>
        <v>Matavfallskärl</v>
      </c>
      <c r="G619" s="46" t="s">
        <v>2468</v>
      </c>
    </row>
    <row r="620" spans="1:7">
      <c r="A620" s="43" t="s">
        <v>2462</v>
      </c>
      <c r="B620" s="50" t="str">
        <f>CONCATENATE(VLOOKUP(C620,'Butiksobjekt steg 2'!A:B,2,FALSE)," ",A620)</f>
        <v>Hemköp Örebro Lucullus Kuundvagnsgarage</v>
      </c>
      <c r="C620" s="43">
        <v>206</v>
      </c>
      <c r="D620" s="45">
        <f t="shared" ca="1" si="27"/>
        <v>25</v>
      </c>
      <c r="E620" s="46">
        <f t="shared" ca="1" si="28"/>
        <v>2</v>
      </c>
      <c r="F620" s="46" t="str">
        <f t="shared" si="29"/>
        <v>Kuundvagnsgarage</v>
      </c>
      <c r="G620" s="46" t="s">
        <v>2469</v>
      </c>
    </row>
    <row r="621" spans="1:7">
      <c r="A621" s="43" t="s">
        <v>2460</v>
      </c>
      <c r="B621" s="50" t="str">
        <f>CONCATENATE(VLOOKUP(C621,'Butiksobjekt steg 2'!A:B,2,FALSE)," ",A621)</f>
        <v>Hemköp Örebro Svampen Pantkärl</v>
      </c>
      <c r="C621" s="43">
        <v>207</v>
      </c>
      <c r="D621" s="45">
        <f t="shared" ca="1" si="27"/>
        <v>26</v>
      </c>
      <c r="E621" s="46">
        <f t="shared" ca="1" si="28"/>
        <v>5</v>
      </c>
      <c r="F621" s="46" t="str">
        <f t="shared" si="29"/>
        <v>Pantkärl</v>
      </c>
      <c r="G621" s="46" t="s">
        <v>2470</v>
      </c>
    </row>
    <row r="622" spans="1:7">
      <c r="A622" s="43" t="s">
        <v>2461</v>
      </c>
      <c r="B622" s="50" t="str">
        <f>CONCATENATE(VLOOKUP(C622,'Butiksobjekt steg 2'!A:B,2,FALSE)," ",A622)</f>
        <v>Hemköp Örebro Svampen Matavfallskärl</v>
      </c>
      <c r="C622" s="43">
        <v>207</v>
      </c>
      <c r="D622" s="45">
        <f t="shared" ca="1" si="27"/>
        <v>23</v>
      </c>
      <c r="E622" s="46">
        <f t="shared" ca="1" si="28"/>
        <v>5</v>
      </c>
      <c r="F622" s="46" t="str">
        <f t="shared" si="29"/>
        <v>Matavfallskärl</v>
      </c>
      <c r="G622" s="46" t="s">
        <v>2468</v>
      </c>
    </row>
    <row r="623" spans="1:7">
      <c r="A623" s="43" t="s">
        <v>2462</v>
      </c>
      <c r="B623" s="50" t="str">
        <f>CONCATENATE(VLOOKUP(C623,'Butiksobjekt steg 2'!A:B,2,FALSE)," ",A623)</f>
        <v>Hemköp Örebro Svampen Kuundvagnsgarage</v>
      </c>
      <c r="C623" s="43">
        <v>207</v>
      </c>
      <c r="D623" s="45">
        <f t="shared" ca="1" si="27"/>
        <v>47</v>
      </c>
      <c r="E623" s="46">
        <f t="shared" ca="1" si="28"/>
        <v>1</v>
      </c>
      <c r="F623" s="46" t="str">
        <f t="shared" si="29"/>
        <v>Kuundvagnsgarage</v>
      </c>
      <c r="G623" s="46" t="s">
        <v>2469</v>
      </c>
    </row>
    <row r="624" spans="1:7">
      <c r="A624" s="43" t="s">
        <v>2460</v>
      </c>
      <c r="B624" s="50" t="str">
        <f>CONCATENATE(VLOOKUP(C624,'Butiksobjekt steg 2'!A:B,2,FALSE)," ",A624)</f>
        <v>Hemköp Örnsköldsvik Domsjö  Pantkärl</v>
      </c>
      <c r="C624" s="43">
        <v>208</v>
      </c>
      <c r="D624" s="45">
        <f t="shared" ca="1" si="27"/>
        <v>25</v>
      </c>
      <c r="E624" s="46">
        <f t="shared" ca="1" si="28"/>
        <v>5</v>
      </c>
      <c r="F624" s="46" t="str">
        <f t="shared" si="29"/>
        <v>Pantkärl</v>
      </c>
      <c r="G624" s="46" t="s">
        <v>2470</v>
      </c>
    </row>
    <row r="625" spans="1:7">
      <c r="A625" s="43" t="s">
        <v>2461</v>
      </c>
      <c r="B625" s="50" t="str">
        <f>CONCATENATE(VLOOKUP(C625,'Butiksobjekt steg 2'!A:B,2,FALSE)," ",A625)</f>
        <v>Hemköp Örnsköldsvik Domsjö  Matavfallskärl</v>
      </c>
      <c r="C625" s="43">
        <v>208</v>
      </c>
      <c r="D625" s="45">
        <f t="shared" ca="1" si="27"/>
        <v>38</v>
      </c>
      <c r="E625" s="46">
        <f t="shared" ca="1" si="28"/>
        <v>1</v>
      </c>
      <c r="F625" s="46" t="str">
        <f t="shared" si="29"/>
        <v>Matavfallskärl</v>
      </c>
      <c r="G625" s="46" t="s">
        <v>2468</v>
      </c>
    </row>
    <row r="626" spans="1:7">
      <c r="A626" s="43" t="s">
        <v>2462</v>
      </c>
      <c r="B626" s="50" t="str">
        <f>CONCATENATE(VLOOKUP(C626,'Butiksobjekt steg 2'!A:B,2,FALSE)," ",A626)</f>
        <v>Hemköp Örnsköldsvik Domsjö  Kuundvagnsgarage</v>
      </c>
      <c r="C626" s="43">
        <v>208</v>
      </c>
      <c r="D626" s="45">
        <f t="shared" ca="1" si="27"/>
        <v>20</v>
      </c>
      <c r="E626" s="46">
        <f t="shared" ca="1" si="28"/>
        <v>3</v>
      </c>
      <c r="F626" s="46" t="str">
        <f t="shared" si="29"/>
        <v>Kuundvagnsgarage</v>
      </c>
      <c r="G626" s="46" t="s">
        <v>2469</v>
      </c>
    </row>
    <row r="627" spans="1:7">
      <c r="A627" s="43" t="s">
        <v>2460</v>
      </c>
      <c r="B627" s="50" t="str">
        <f>CONCATENATE(VLOOKUP(C627,'Butiksobjekt steg 2'!A:B,2,FALSE)," ",A627)</f>
        <v>Hemköp Östenssons Borensberg C Pantkärl</v>
      </c>
      <c r="C627" s="43">
        <v>209</v>
      </c>
      <c r="D627" s="45">
        <f t="shared" ca="1" si="27"/>
        <v>52</v>
      </c>
      <c r="E627" s="46">
        <f t="shared" ca="1" si="28"/>
        <v>1</v>
      </c>
      <c r="F627" s="46" t="str">
        <f t="shared" si="29"/>
        <v>Pantkärl</v>
      </c>
      <c r="G627" s="46" t="s">
        <v>2470</v>
      </c>
    </row>
    <row r="628" spans="1:7">
      <c r="A628" s="43" t="s">
        <v>2461</v>
      </c>
      <c r="B628" s="50" t="str">
        <f>CONCATENATE(VLOOKUP(C628,'Butiksobjekt steg 2'!A:B,2,FALSE)," ",A628)</f>
        <v>Hemköp Östenssons Borensberg C Matavfallskärl</v>
      </c>
      <c r="C628" s="43">
        <v>209</v>
      </c>
      <c r="D628" s="45">
        <f t="shared" ca="1" si="27"/>
        <v>41</v>
      </c>
      <c r="E628" s="46">
        <f t="shared" ca="1" si="28"/>
        <v>5</v>
      </c>
      <c r="F628" s="46" t="str">
        <f t="shared" si="29"/>
        <v>Matavfallskärl</v>
      </c>
      <c r="G628" s="46" t="s">
        <v>2468</v>
      </c>
    </row>
    <row r="629" spans="1:7">
      <c r="A629" s="43" t="s">
        <v>2462</v>
      </c>
      <c r="B629" s="50" t="str">
        <f>CONCATENATE(VLOOKUP(C629,'Butiksobjekt steg 2'!A:B,2,FALSE)," ",A629)</f>
        <v>Hemköp Östenssons Borensberg C Kuundvagnsgarage</v>
      </c>
      <c r="C629" s="43">
        <v>209</v>
      </c>
      <c r="D629" s="45">
        <f t="shared" ca="1" si="27"/>
        <v>51</v>
      </c>
      <c r="E629" s="46">
        <f t="shared" ca="1" si="28"/>
        <v>3</v>
      </c>
      <c r="F629" s="46" t="str">
        <f t="shared" si="29"/>
        <v>Kuundvagnsgarage</v>
      </c>
      <c r="G629" s="46" t="s">
        <v>2469</v>
      </c>
    </row>
    <row r="630" spans="1:7">
      <c r="A630" s="43" t="s">
        <v>2460</v>
      </c>
      <c r="B630" s="50" t="str">
        <f>CONCATENATE(VLOOKUP(C630,'Butiksobjekt steg 2'!A:B,2,FALSE)," ",A630)</f>
        <v>Hemköp Östenssons Linköping Folkungavallen Pantkärl</v>
      </c>
      <c r="C630" s="43">
        <v>210</v>
      </c>
      <c r="D630" s="45">
        <f t="shared" ca="1" si="27"/>
        <v>25</v>
      </c>
      <c r="E630" s="46">
        <f t="shared" ca="1" si="28"/>
        <v>3</v>
      </c>
      <c r="F630" s="46" t="str">
        <f t="shared" si="29"/>
        <v>Pantkärl</v>
      </c>
      <c r="G630" s="46" t="s">
        <v>2470</v>
      </c>
    </row>
    <row r="631" spans="1:7">
      <c r="A631" s="43" t="s">
        <v>2461</v>
      </c>
      <c r="B631" s="50" t="str">
        <f>CONCATENATE(VLOOKUP(C631,'Butiksobjekt steg 2'!A:B,2,FALSE)," ",A631)</f>
        <v>Hemköp Östenssons Linköping Folkungavallen Matavfallskärl</v>
      </c>
      <c r="C631" s="43">
        <v>210</v>
      </c>
      <c r="D631" s="45">
        <f t="shared" ca="1" si="27"/>
        <v>35</v>
      </c>
      <c r="E631" s="46">
        <f t="shared" ca="1" si="28"/>
        <v>2</v>
      </c>
      <c r="F631" s="46" t="str">
        <f t="shared" si="29"/>
        <v>Matavfallskärl</v>
      </c>
      <c r="G631" s="46" t="s">
        <v>2468</v>
      </c>
    </row>
    <row r="632" spans="1:7">
      <c r="A632" s="43" t="s">
        <v>2462</v>
      </c>
      <c r="B632" s="50" t="str">
        <f>CONCATENATE(VLOOKUP(C632,'Butiksobjekt steg 2'!A:B,2,FALSE)," ",A632)</f>
        <v>Hemköp Östenssons Linköping Folkungavallen Kuundvagnsgarage</v>
      </c>
      <c r="C632" s="43">
        <v>210</v>
      </c>
      <c r="D632" s="45">
        <f t="shared" ca="1" si="27"/>
        <v>13</v>
      </c>
      <c r="E632" s="46">
        <f t="shared" ca="1" si="28"/>
        <v>1</v>
      </c>
      <c r="F632" s="46" t="str">
        <f t="shared" si="29"/>
        <v>Kuundvagnsgarage</v>
      </c>
      <c r="G632" s="46" t="s">
        <v>2469</v>
      </c>
    </row>
    <row r="633" spans="1:7">
      <c r="A633" s="43" t="s">
        <v>2460</v>
      </c>
      <c r="B633" s="50" t="str">
        <f>CONCATENATE(VLOOKUP(C633,'Butiksobjekt steg 2'!A:B,2,FALSE)," ",A633)</f>
        <v>Hemköp Östenssons Linköping Ullstämma Pantkärl</v>
      </c>
      <c r="C633" s="43">
        <v>211</v>
      </c>
      <c r="D633" s="45">
        <f t="shared" ca="1" si="27"/>
        <v>42</v>
      </c>
      <c r="E633" s="46">
        <f t="shared" ca="1" si="28"/>
        <v>2</v>
      </c>
      <c r="F633" s="46" t="str">
        <f t="shared" si="29"/>
        <v>Pantkärl</v>
      </c>
      <c r="G633" s="46" t="s">
        <v>2470</v>
      </c>
    </row>
    <row r="634" spans="1:7">
      <c r="A634" s="43" t="s">
        <v>2461</v>
      </c>
      <c r="B634" s="50" t="str">
        <f>CONCATENATE(VLOOKUP(C634,'Butiksobjekt steg 2'!A:B,2,FALSE)," ",A634)</f>
        <v>Hemköp Östenssons Linköping Ullstämma Matavfallskärl</v>
      </c>
      <c r="C634" s="43">
        <v>211</v>
      </c>
      <c r="D634" s="45">
        <f t="shared" ca="1" si="27"/>
        <v>48</v>
      </c>
      <c r="E634" s="46">
        <f t="shared" ca="1" si="28"/>
        <v>4</v>
      </c>
      <c r="F634" s="46" t="str">
        <f t="shared" si="29"/>
        <v>Matavfallskärl</v>
      </c>
      <c r="G634" s="46" t="s">
        <v>2468</v>
      </c>
    </row>
    <row r="635" spans="1:7">
      <c r="A635" s="43" t="s">
        <v>2462</v>
      </c>
      <c r="B635" s="50" t="str">
        <f>CONCATENATE(VLOOKUP(C635,'Butiksobjekt steg 2'!A:B,2,FALSE)," ",A635)</f>
        <v>Hemköp Östenssons Linköping Ullstämma Kuundvagnsgarage</v>
      </c>
      <c r="C635" s="43">
        <v>211</v>
      </c>
      <c r="D635" s="45">
        <f t="shared" ca="1" si="27"/>
        <v>44</v>
      </c>
      <c r="E635" s="46">
        <f t="shared" ca="1" si="28"/>
        <v>2</v>
      </c>
      <c r="F635" s="46" t="str">
        <f t="shared" si="29"/>
        <v>Kuundvagnsgarage</v>
      </c>
      <c r="G635" s="46" t="s">
        <v>2469</v>
      </c>
    </row>
    <row r="636" spans="1:7">
      <c r="A636" s="43" t="s">
        <v>2460</v>
      </c>
      <c r="B636" s="50" t="str">
        <f>CONCATENATE(VLOOKUP(C636,'Butiksobjekt steg 2'!A:B,2,FALSE)," ",A636)</f>
        <v>Hemköp Östenssons Motala Verkstan Pantkärl</v>
      </c>
      <c r="C636" s="43">
        <v>212</v>
      </c>
      <c r="D636" s="45">
        <f t="shared" ca="1" si="27"/>
        <v>22</v>
      </c>
      <c r="E636" s="46">
        <f t="shared" ca="1" si="28"/>
        <v>2</v>
      </c>
      <c r="F636" s="46" t="str">
        <f t="shared" si="29"/>
        <v>Pantkärl</v>
      </c>
      <c r="G636" s="46" t="s">
        <v>2470</v>
      </c>
    </row>
    <row r="637" spans="1:7">
      <c r="A637" s="43" t="s">
        <v>2461</v>
      </c>
      <c r="B637" s="50" t="str">
        <f>CONCATENATE(VLOOKUP(C637,'Butiksobjekt steg 2'!A:B,2,FALSE)," ",A637)</f>
        <v>Hemköp Östenssons Motala Verkstan Matavfallskärl</v>
      </c>
      <c r="C637" s="43">
        <v>212</v>
      </c>
      <c r="D637" s="45">
        <f t="shared" ca="1" si="27"/>
        <v>31</v>
      </c>
      <c r="E637" s="46">
        <f t="shared" ca="1" si="28"/>
        <v>2</v>
      </c>
      <c r="F637" s="46" t="str">
        <f t="shared" si="29"/>
        <v>Matavfallskärl</v>
      </c>
      <c r="G637" s="46" t="s">
        <v>2468</v>
      </c>
    </row>
    <row r="638" spans="1:7">
      <c r="A638" s="43" t="s">
        <v>2462</v>
      </c>
      <c r="B638" s="50" t="str">
        <f>CONCATENATE(VLOOKUP(C638,'Butiksobjekt steg 2'!A:B,2,FALSE)," ",A638)</f>
        <v>Hemköp Östenssons Motala Verkstan Kuundvagnsgarage</v>
      </c>
      <c r="C638" s="43">
        <v>212</v>
      </c>
      <c r="D638" s="45">
        <f t="shared" ca="1" si="27"/>
        <v>47</v>
      </c>
      <c r="E638" s="46">
        <f t="shared" ca="1" si="28"/>
        <v>5</v>
      </c>
      <c r="F638" s="46" t="str">
        <f t="shared" si="29"/>
        <v>Kuundvagnsgarage</v>
      </c>
      <c r="G638" s="46" t="s">
        <v>2469</v>
      </c>
    </row>
    <row r="639" spans="1:7">
      <c r="A639" s="43" t="s">
        <v>2460</v>
      </c>
      <c r="B639" s="50" t="str">
        <f>CONCATENATE(VLOOKUP(C639,'Butiksobjekt steg 2'!A:B,2,FALSE)," ",A639)</f>
        <v>Hemköp Östenssons Motala Väster Pantkärl</v>
      </c>
      <c r="C639" s="43">
        <v>213</v>
      </c>
      <c r="D639" s="45">
        <f t="shared" ca="1" si="27"/>
        <v>48</v>
      </c>
      <c r="E639" s="46">
        <f t="shared" ca="1" si="28"/>
        <v>1</v>
      </c>
      <c r="F639" s="46" t="str">
        <f t="shared" si="29"/>
        <v>Pantkärl</v>
      </c>
      <c r="G639" s="46" t="s">
        <v>2470</v>
      </c>
    </row>
    <row r="640" spans="1:7">
      <c r="A640" s="43" t="s">
        <v>2461</v>
      </c>
      <c r="B640" s="50" t="str">
        <f>CONCATENATE(VLOOKUP(C640,'Butiksobjekt steg 2'!A:B,2,FALSE)," ",A640)</f>
        <v>Hemköp Östenssons Motala Väster Matavfallskärl</v>
      </c>
      <c r="C640" s="43">
        <v>213</v>
      </c>
      <c r="D640" s="45">
        <f t="shared" ca="1" si="27"/>
        <v>11</v>
      </c>
      <c r="E640" s="46">
        <f t="shared" ca="1" si="28"/>
        <v>1</v>
      </c>
      <c r="F640" s="46" t="str">
        <f t="shared" si="29"/>
        <v>Matavfallskärl</v>
      </c>
      <c r="G640" s="46" t="s">
        <v>2468</v>
      </c>
    </row>
    <row r="641" spans="1:7">
      <c r="A641" s="43" t="s">
        <v>2462</v>
      </c>
      <c r="B641" s="50" t="str">
        <f>CONCATENATE(VLOOKUP(C641,'Butiksobjekt steg 2'!A:B,2,FALSE)," ",A641)</f>
        <v>Hemköp Östenssons Motala Väster Kuundvagnsgarage</v>
      </c>
      <c r="C641" s="43">
        <v>213</v>
      </c>
      <c r="D641" s="45">
        <f t="shared" ca="1" si="27"/>
        <v>36</v>
      </c>
      <c r="E641" s="46">
        <f t="shared" ca="1" si="28"/>
        <v>4</v>
      </c>
      <c r="F641" s="46" t="str">
        <f t="shared" si="29"/>
        <v>Kuundvagnsgarage</v>
      </c>
      <c r="G641" s="46" t="s">
        <v>2469</v>
      </c>
    </row>
    <row r="642" spans="1:7">
      <c r="A642" s="43" t="s">
        <v>2460</v>
      </c>
      <c r="B642" s="50" t="str">
        <f>CONCATENATE(VLOOKUP(C642,'Butiksobjekt steg 2'!A:B,2,FALSE)," ",A642)</f>
        <v>Hemköp Östenssons Norrköping Björkalund Pantkärl</v>
      </c>
      <c r="C642" s="43">
        <v>214</v>
      </c>
      <c r="D642" s="45">
        <f t="shared" ca="1" si="27"/>
        <v>46</v>
      </c>
      <c r="E642" s="46">
        <f t="shared" ca="1" si="28"/>
        <v>1</v>
      </c>
      <c r="F642" s="46" t="str">
        <f t="shared" si="29"/>
        <v>Pantkärl</v>
      </c>
      <c r="G642" s="46" t="s">
        <v>2470</v>
      </c>
    </row>
    <row r="643" spans="1:7">
      <c r="A643" s="43" t="s">
        <v>2461</v>
      </c>
      <c r="B643" s="50" t="str">
        <f>CONCATENATE(VLOOKUP(C643,'Butiksobjekt steg 2'!A:B,2,FALSE)," ",A643)</f>
        <v>Hemköp Östenssons Norrköping Björkalund Matavfallskärl</v>
      </c>
      <c r="C643" s="43">
        <v>214</v>
      </c>
      <c r="D643" s="45">
        <f t="shared" ca="1" si="27"/>
        <v>15</v>
      </c>
      <c r="E643" s="46">
        <f t="shared" ca="1" si="28"/>
        <v>1</v>
      </c>
      <c r="F643" s="46" t="str">
        <f t="shared" si="29"/>
        <v>Matavfallskärl</v>
      </c>
      <c r="G643" s="46" t="s">
        <v>2468</v>
      </c>
    </row>
    <row r="644" spans="1:7">
      <c r="A644" s="43" t="s">
        <v>2462</v>
      </c>
      <c r="B644" s="50" t="str">
        <f>CONCATENATE(VLOOKUP(C644,'Butiksobjekt steg 2'!A:B,2,FALSE)," ",A644)</f>
        <v>Hemköp Östenssons Norrköping Björkalund Kuundvagnsgarage</v>
      </c>
      <c r="C644" s="43">
        <v>214</v>
      </c>
      <c r="D644" s="45">
        <f t="shared" ref="D644:D662" ca="1" si="30">RANDBETWEEN(8,53)</f>
        <v>52</v>
      </c>
      <c r="E644" s="46">
        <f t="shared" ref="E644:E662" ca="1" si="31">RANDBETWEEN(1,5)</f>
        <v>5</v>
      </c>
      <c r="F644" s="46" t="str">
        <f t="shared" si="29"/>
        <v>Kuundvagnsgarage</v>
      </c>
      <c r="G644" s="46" t="s">
        <v>2469</v>
      </c>
    </row>
    <row r="645" spans="1:7">
      <c r="A645" s="43" t="s">
        <v>2460</v>
      </c>
      <c r="B645" s="50" t="str">
        <f>CONCATENATE(VLOOKUP(C645,'Butiksobjekt steg 2'!A:B,2,FALSE)," ",A645)</f>
        <v>Hemköp Östenssons Skänninge C Pantkärl</v>
      </c>
      <c r="C645" s="43">
        <v>215</v>
      </c>
      <c r="D645" s="45">
        <f t="shared" ca="1" si="30"/>
        <v>53</v>
      </c>
      <c r="E645" s="46">
        <f t="shared" ca="1" si="31"/>
        <v>4</v>
      </c>
      <c r="F645" s="46" t="str">
        <f t="shared" ref="F645:F662" si="32">A645</f>
        <v>Pantkärl</v>
      </c>
      <c r="G645" s="46" t="s">
        <v>2470</v>
      </c>
    </row>
    <row r="646" spans="1:7">
      <c r="A646" s="43" t="s">
        <v>2461</v>
      </c>
      <c r="B646" s="50" t="str">
        <f>CONCATENATE(VLOOKUP(C646,'Butiksobjekt steg 2'!A:B,2,FALSE)," ",A646)</f>
        <v>Hemköp Östenssons Skänninge C Matavfallskärl</v>
      </c>
      <c r="C646" s="43">
        <v>215</v>
      </c>
      <c r="D646" s="45">
        <f t="shared" ca="1" si="30"/>
        <v>34</v>
      </c>
      <c r="E646" s="46">
        <f t="shared" ca="1" si="31"/>
        <v>1</v>
      </c>
      <c r="F646" s="46" t="str">
        <f t="shared" si="32"/>
        <v>Matavfallskärl</v>
      </c>
      <c r="G646" s="46" t="s">
        <v>2468</v>
      </c>
    </row>
    <row r="647" spans="1:7">
      <c r="A647" s="43" t="s">
        <v>2462</v>
      </c>
      <c r="B647" s="50" t="str">
        <f>CONCATENATE(VLOOKUP(C647,'Butiksobjekt steg 2'!A:B,2,FALSE)," ",A647)</f>
        <v>Hemköp Östenssons Skänninge C Kuundvagnsgarage</v>
      </c>
      <c r="C647" s="43">
        <v>215</v>
      </c>
      <c r="D647" s="45">
        <f t="shared" ca="1" si="30"/>
        <v>35</v>
      </c>
      <c r="E647" s="46">
        <f t="shared" ca="1" si="31"/>
        <v>1</v>
      </c>
      <c r="F647" s="46" t="str">
        <f t="shared" si="32"/>
        <v>Kuundvagnsgarage</v>
      </c>
      <c r="G647" s="46" t="s">
        <v>2469</v>
      </c>
    </row>
    <row r="648" spans="1:7">
      <c r="A648" s="43" t="s">
        <v>2460</v>
      </c>
      <c r="B648" s="50" t="str">
        <f>CONCATENATE(VLOOKUP(C648,'Butiksobjekt steg 2'!A:B,2,FALSE)," ",A648)</f>
        <v>Hemköp Östenssons Vadstena Mima Pantkärl</v>
      </c>
      <c r="C648" s="43">
        <v>216</v>
      </c>
      <c r="D648" s="45">
        <f t="shared" ca="1" si="30"/>
        <v>15</v>
      </c>
      <c r="E648" s="46">
        <f t="shared" ca="1" si="31"/>
        <v>3</v>
      </c>
      <c r="F648" s="46" t="str">
        <f t="shared" si="32"/>
        <v>Pantkärl</v>
      </c>
      <c r="G648" s="46" t="s">
        <v>2470</v>
      </c>
    </row>
    <row r="649" spans="1:7">
      <c r="A649" s="43" t="s">
        <v>2461</v>
      </c>
      <c r="B649" s="50" t="str">
        <f>CONCATENATE(VLOOKUP(C649,'Butiksobjekt steg 2'!A:B,2,FALSE)," ",A649)</f>
        <v>Hemköp Östenssons Vadstena Mima Matavfallskärl</v>
      </c>
      <c r="C649" s="43">
        <v>216</v>
      </c>
      <c r="D649" s="45">
        <f t="shared" ca="1" si="30"/>
        <v>10</v>
      </c>
      <c r="E649" s="46">
        <f t="shared" ca="1" si="31"/>
        <v>2</v>
      </c>
      <c r="F649" s="46" t="str">
        <f t="shared" si="32"/>
        <v>Matavfallskärl</v>
      </c>
      <c r="G649" s="46" t="s">
        <v>2468</v>
      </c>
    </row>
    <row r="650" spans="1:7">
      <c r="A650" s="43" t="s">
        <v>2462</v>
      </c>
      <c r="B650" s="50" t="str">
        <f>CONCATENATE(VLOOKUP(C650,'Butiksobjekt steg 2'!A:B,2,FALSE)," ",A650)</f>
        <v>Hemköp Östenssons Vadstena Mima Kuundvagnsgarage</v>
      </c>
      <c r="C650" s="43">
        <v>216</v>
      </c>
      <c r="D650" s="45">
        <f t="shared" ca="1" si="30"/>
        <v>16</v>
      </c>
      <c r="E650" s="46">
        <f t="shared" ca="1" si="31"/>
        <v>5</v>
      </c>
      <c r="F650" s="46" t="str">
        <f t="shared" si="32"/>
        <v>Kuundvagnsgarage</v>
      </c>
      <c r="G650" s="46" t="s">
        <v>2469</v>
      </c>
    </row>
    <row r="651" spans="1:7">
      <c r="A651" s="43" t="s">
        <v>2460</v>
      </c>
      <c r="B651" s="50" t="str">
        <f>CONCATENATE(VLOOKUP(C651,'Butiksobjekt steg 2'!A:B,2,FALSE)," ",A651)</f>
        <v>Hemköp Östenssons Vadstena Starby  Pantkärl</v>
      </c>
      <c r="C651" s="43">
        <v>217</v>
      </c>
      <c r="D651" s="45">
        <f t="shared" ca="1" si="30"/>
        <v>50</v>
      </c>
      <c r="E651" s="46">
        <f t="shared" ca="1" si="31"/>
        <v>4</v>
      </c>
      <c r="F651" s="46" t="str">
        <f t="shared" si="32"/>
        <v>Pantkärl</v>
      </c>
      <c r="G651" s="46" t="s">
        <v>2470</v>
      </c>
    </row>
    <row r="652" spans="1:7">
      <c r="A652" s="43" t="s">
        <v>2461</v>
      </c>
      <c r="B652" s="50" t="str">
        <f>CONCATENATE(VLOOKUP(C652,'Butiksobjekt steg 2'!A:B,2,FALSE)," ",A652)</f>
        <v>Hemköp Östenssons Vadstena Starby  Matavfallskärl</v>
      </c>
      <c r="C652" s="43">
        <v>217</v>
      </c>
      <c r="D652" s="45">
        <f t="shared" ca="1" si="30"/>
        <v>26</v>
      </c>
      <c r="E652" s="46">
        <f t="shared" ca="1" si="31"/>
        <v>1</v>
      </c>
      <c r="F652" s="46" t="str">
        <f t="shared" si="32"/>
        <v>Matavfallskärl</v>
      </c>
      <c r="G652" s="46" t="s">
        <v>2468</v>
      </c>
    </row>
    <row r="653" spans="1:7">
      <c r="A653" s="43" t="s">
        <v>2462</v>
      </c>
      <c r="B653" s="50" t="str">
        <f>CONCATENATE(VLOOKUP(C653,'Butiksobjekt steg 2'!A:B,2,FALSE)," ",A653)</f>
        <v>Hemköp Östenssons Vadstena Starby  Kuundvagnsgarage</v>
      </c>
      <c r="C653" s="43">
        <v>217</v>
      </c>
      <c r="D653" s="45">
        <f t="shared" ca="1" si="30"/>
        <v>24</v>
      </c>
      <c r="E653" s="46">
        <f t="shared" ca="1" si="31"/>
        <v>4</v>
      </c>
      <c r="F653" s="46" t="str">
        <f t="shared" si="32"/>
        <v>Kuundvagnsgarage</v>
      </c>
      <c r="G653" s="46" t="s">
        <v>2469</v>
      </c>
    </row>
    <row r="654" spans="1:7">
      <c r="A654" s="43" t="s">
        <v>2460</v>
      </c>
      <c r="B654" s="50" t="str">
        <f>CONCATENATE(VLOOKUP(C654,'Butiksobjekt steg 2'!A:B,2,FALSE)," ",A654)</f>
        <v>Hemköp Östervåla Pantkärl</v>
      </c>
      <c r="C654" s="43">
        <v>218</v>
      </c>
      <c r="D654" s="45">
        <f t="shared" ca="1" si="30"/>
        <v>32</v>
      </c>
      <c r="E654" s="46">
        <f t="shared" ca="1" si="31"/>
        <v>1</v>
      </c>
      <c r="F654" s="46" t="str">
        <f t="shared" si="32"/>
        <v>Pantkärl</v>
      </c>
      <c r="G654" s="46" t="s">
        <v>2470</v>
      </c>
    </row>
    <row r="655" spans="1:7">
      <c r="A655" s="43" t="s">
        <v>2461</v>
      </c>
      <c r="B655" s="50" t="str">
        <f>CONCATENATE(VLOOKUP(C655,'Butiksobjekt steg 2'!A:B,2,FALSE)," ",A655)</f>
        <v>Hemköp Östervåla Matavfallskärl</v>
      </c>
      <c r="C655" s="43">
        <v>218</v>
      </c>
      <c r="D655" s="45">
        <f t="shared" ca="1" si="30"/>
        <v>33</v>
      </c>
      <c r="E655" s="46">
        <f t="shared" ca="1" si="31"/>
        <v>1</v>
      </c>
      <c r="F655" s="46" t="str">
        <f t="shared" si="32"/>
        <v>Matavfallskärl</v>
      </c>
      <c r="G655" s="46" t="s">
        <v>2468</v>
      </c>
    </row>
    <row r="656" spans="1:7">
      <c r="A656" s="43" t="s">
        <v>2462</v>
      </c>
      <c r="B656" s="50" t="str">
        <f>CONCATENATE(VLOOKUP(C656,'Butiksobjekt steg 2'!A:B,2,FALSE)," ",A656)</f>
        <v>Hemköp Östervåla Kuundvagnsgarage</v>
      </c>
      <c r="C656" s="43">
        <v>218</v>
      </c>
      <c r="D656" s="45">
        <f t="shared" ca="1" si="30"/>
        <v>8</v>
      </c>
      <c r="E656" s="46">
        <f t="shared" ca="1" si="31"/>
        <v>1</v>
      </c>
      <c r="F656" s="46" t="str">
        <f t="shared" si="32"/>
        <v>Kuundvagnsgarage</v>
      </c>
      <c r="G656" s="46" t="s">
        <v>2469</v>
      </c>
    </row>
    <row r="657" spans="1:7">
      <c r="A657" s="43" t="s">
        <v>2460</v>
      </c>
      <c r="B657" s="50" t="str">
        <f>CONCATENATE(VLOOKUP(C657,'Butiksobjekt steg 2'!A:B,2,FALSE)," ",A657)</f>
        <v>Hemköp Östenssons Vadstena Starby  Pantkärl</v>
      </c>
      <c r="C657" s="43">
        <v>219</v>
      </c>
      <c r="D657" s="45">
        <f t="shared" ca="1" si="30"/>
        <v>35</v>
      </c>
      <c r="E657" s="46">
        <f t="shared" ca="1" si="31"/>
        <v>5</v>
      </c>
      <c r="F657" s="46" t="str">
        <f t="shared" si="32"/>
        <v>Pantkärl</v>
      </c>
      <c r="G657" s="46" t="s">
        <v>2470</v>
      </c>
    </row>
    <row r="658" spans="1:7">
      <c r="A658" s="43" t="s">
        <v>2461</v>
      </c>
      <c r="B658" s="50" t="str">
        <f>CONCATENATE(VLOOKUP(C658,'Butiksobjekt steg 2'!A:B,2,FALSE)," ",A658)</f>
        <v>Hemköp Östenssons Vadstena Starby  Matavfallskärl</v>
      </c>
      <c r="C658" s="43">
        <v>219</v>
      </c>
      <c r="D658" s="45">
        <f t="shared" ca="1" si="30"/>
        <v>34</v>
      </c>
      <c r="E658" s="46">
        <f t="shared" ca="1" si="31"/>
        <v>4</v>
      </c>
      <c r="F658" s="46" t="str">
        <f t="shared" si="32"/>
        <v>Matavfallskärl</v>
      </c>
      <c r="G658" s="46" t="s">
        <v>2468</v>
      </c>
    </row>
    <row r="659" spans="1:7">
      <c r="A659" s="43" t="s">
        <v>2462</v>
      </c>
      <c r="B659" s="50" t="str">
        <f>CONCATENATE(VLOOKUP(C659,'Butiksobjekt steg 2'!A:B,2,FALSE)," ",A659)</f>
        <v>Hemköp Östenssons Vadstena Starby  Kuundvagnsgarage</v>
      </c>
      <c r="C659" s="43">
        <v>219</v>
      </c>
      <c r="D659" s="45">
        <f t="shared" ca="1" si="30"/>
        <v>18</v>
      </c>
      <c r="E659" s="46">
        <f t="shared" ca="1" si="31"/>
        <v>1</v>
      </c>
      <c r="F659" s="46" t="str">
        <f t="shared" si="32"/>
        <v>Kuundvagnsgarage</v>
      </c>
      <c r="G659" s="46" t="s">
        <v>2469</v>
      </c>
    </row>
    <row r="660" spans="1:7">
      <c r="A660" s="43" t="s">
        <v>2460</v>
      </c>
      <c r="B660" s="50" t="str">
        <f>CONCATENATE(VLOOKUP(C660,'Butiksobjekt steg 2'!A:B,2,FALSE)," ",A660)</f>
        <v>Hemköp Östervåla Pantkärl</v>
      </c>
      <c r="C660" s="43">
        <v>220</v>
      </c>
      <c r="D660" s="45">
        <f t="shared" ca="1" si="30"/>
        <v>43</v>
      </c>
      <c r="E660" s="46">
        <f t="shared" ca="1" si="31"/>
        <v>4</v>
      </c>
      <c r="F660" s="46" t="str">
        <f t="shared" si="32"/>
        <v>Pantkärl</v>
      </c>
      <c r="G660" s="46" t="s">
        <v>2470</v>
      </c>
    </row>
    <row r="661" spans="1:7">
      <c r="A661" s="43" t="s">
        <v>2461</v>
      </c>
      <c r="B661" s="50" t="str">
        <f>CONCATENATE(VLOOKUP(C661,'Butiksobjekt steg 2'!A:B,2,FALSE)," ",A661)</f>
        <v>Hemköp Östervåla Matavfallskärl</v>
      </c>
      <c r="C661" s="43">
        <v>220</v>
      </c>
      <c r="D661" s="45">
        <f t="shared" ca="1" si="30"/>
        <v>36</v>
      </c>
      <c r="E661" s="46">
        <f t="shared" ca="1" si="31"/>
        <v>3</v>
      </c>
      <c r="F661" s="46" t="str">
        <f t="shared" si="32"/>
        <v>Matavfallskärl</v>
      </c>
      <c r="G661" s="46" t="s">
        <v>2468</v>
      </c>
    </row>
    <row r="662" spans="1:7">
      <c r="A662" s="43" t="s">
        <v>2462</v>
      </c>
      <c r="B662" s="50" t="str">
        <f>CONCATENATE(VLOOKUP(C662,'Butiksobjekt steg 2'!A:B,2,FALSE)," ",A662)</f>
        <v>Hemköp Östervåla Kuundvagnsgarage</v>
      </c>
      <c r="C662" s="43">
        <v>220</v>
      </c>
      <c r="D662" s="45">
        <f t="shared" ca="1" si="30"/>
        <v>49</v>
      </c>
      <c r="E662" s="46">
        <f t="shared" ca="1" si="31"/>
        <v>5</v>
      </c>
      <c r="F662" s="46" t="str">
        <f t="shared" si="32"/>
        <v>Kuundvagnsgarage</v>
      </c>
      <c r="G662" s="46" t="s">
        <v>2469</v>
      </c>
    </row>
  </sheetData>
  <autoFilter ref="A3:E3" xr:uid="{5EB91D51-7083-1046-8E1F-544D62361008}">
    <sortState xmlns:xlrd2="http://schemas.microsoft.com/office/spreadsheetml/2017/richdata2" ref="A4:E663">
      <sortCondition ref="C3:C66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1122-B68B-0E4E-86FC-EB518FD832D5}">
  <dimension ref="A1:J12"/>
  <sheetViews>
    <sheetView tabSelected="1" zoomScale="186" workbookViewId="0">
      <selection sqref="A1:XFD1"/>
    </sheetView>
  </sheetViews>
  <sheetFormatPr baseColWidth="10" defaultRowHeight="16"/>
  <cols>
    <col min="1" max="1" width="14.83203125" bestFit="1" customWidth="1"/>
    <col min="4" max="4" width="29.1640625" bestFit="1" customWidth="1"/>
    <col min="6" max="6" width="41" bestFit="1" customWidth="1"/>
    <col min="7" max="7" width="8.33203125" bestFit="1" customWidth="1"/>
    <col min="9" max="9" width="12.6640625" bestFit="1" customWidth="1"/>
    <col min="10" max="10" width="16.33203125" bestFit="1" customWidth="1"/>
  </cols>
  <sheetData>
    <row r="1" spans="1:10" s="52" customFormat="1">
      <c r="A1" s="52" t="s">
        <v>2445</v>
      </c>
      <c r="B1" s="52" t="s">
        <v>2473</v>
      </c>
      <c r="C1" s="52" t="s">
        <v>2423</v>
      </c>
      <c r="D1" s="52" t="s">
        <v>2424</v>
      </c>
      <c r="E1" s="52" t="s">
        <v>2425</v>
      </c>
      <c r="F1" s="52" t="s">
        <v>2426</v>
      </c>
      <c r="G1" s="52" t="s">
        <v>2451</v>
      </c>
      <c r="H1" s="52" t="s">
        <v>2428</v>
      </c>
      <c r="I1" s="52" t="s">
        <v>2435</v>
      </c>
      <c r="J1" s="52" t="s">
        <v>2436</v>
      </c>
    </row>
    <row r="2" spans="1:10">
      <c r="A2" t="s">
        <v>2446</v>
      </c>
      <c r="B2" t="s">
        <v>2427</v>
      </c>
      <c r="C2">
        <v>1</v>
      </c>
      <c r="D2" t="s">
        <v>2429</v>
      </c>
      <c r="E2" t="s">
        <v>2430</v>
      </c>
      <c r="F2" t="s">
        <v>2431</v>
      </c>
      <c r="G2" t="s">
        <v>2432</v>
      </c>
      <c r="H2" t="s">
        <v>2432</v>
      </c>
      <c r="I2" t="s">
        <v>2437</v>
      </c>
      <c r="J2" t="s">
        <v>2440</v>
      </c>
    </row>
    <row r="3" spans="1:10">
      <c r="A3" t="s">
        <v>2446</v>
      </c>
      <c r="B3" t="s">
        <v>2433</v>
      </c>
      <c r="C3">
        <v>3</v>
      </c>
      <c r="D3" t="s">
        <v>2434</v>
      </c>
      <c r="E3" t="s">
        <v>2438</v>
      </c>
      <c r="F3" t="s">
        <v>2439</v>
      </c>
      <c r="G3" t="s">
        <v>2432</v>
      </c>
      <c r="H3" t="s">
        <v>2437</v>
      </c>
      <c r="I3" t="s">
        <v>2432</v>
      </c>
      <c r="J3" t="s">
        <v>2437</v>
      </c>
    </row>
    <row r="4" spans="1:10">
      <c r="A4" t="s">
        <v>2449</v>
      </c>
      <c r="B4" t="s">
        <v>2441</v>
      </c>
      <c r="C4">
        <v>6</v>
      </c>
      <c r="D4" t="s">
        <v>2442</v>
      </c>
      <c r="E4" t="s">
        <v>2430</v>
      </c>
      <c r="F4" t="s">
        <v>2443</v>
      </c>
      <c r="G4" t="s">
        <v>2432</v>
      </c>
      <c r="H4" t="s">
        <v>2437</v>
      </c>
      <c r="I4" t="s">
        <v>2437</v>
      </c>
      <c r="J4" t="s">
        <v>2440</v>
      </c>
    </row>
    <row r="5" spans="1:10">
      <c r="A5" t="s">
        <v>2449</v>
      </c>
      <c r="B5" t="s">
        <v>2444</v>
      </c>
      <c r="C5">
        <v>9</v>
      </c>
      <c r="D5" t="s">
        <v>2444</v>
      </c>
      <c r="E5" t="s">
        <v>2452</v>
      </c>
      <c r="F5" t="s">
        <v>2458</v>
      </c>
      <c r="G5" t="s">
        <v>2432</v>
      </c>
      <c r="H5" t="s">
        <v>2437</v>
      </c>
      <c r="I5" t="s">
        <v>2432</v>
      </c>
      <c r="J5" t="s">
        <v>2437</v>
      </c>
    </row>
    <row r="6" spans="1:10">
      <c r="A6" t="s">
        <v>2449</v>
      </c>
      <c r="B6" t="s">
        <v>2447</v>
      </c>
      <c r="C6">
        <v>12</v>
      </c>
      <c r="D6" t="s">
        <v>2450</v>
      </c>
      <c r="E6" t="s">
        <v>2452</v>
      </c>
      <c r="F6" t="s">
        <v>2459</v>
      </c>
      <c r="G6" t="s">
        <v>2432</v>
      </c>
    </row>
    <row r="7" spans="1:10">
      <c r="A7" t="s">
        <v>2449</v>
      </c>
      <c r="B7" t="s">
        <v>2448</v>
      </c>
      <c r="C7">
        <v>15</v>
      </c>
      <c r="D7" t="s">
        <v>2456</v>
      </c>
      <c r="E7" t="s">
        <v>2430</v>
      </c>
      <c r="F7" t="s">
        <v>2453</v>
      </c>
      <c r="G7" t="s">
        <v>2437</v>
      </c>
    </row>
    <row r="8" spans="1:10">
      <c r="A8" t="s">
        <v>2454</v>
      </c>
      <c r="B8" t="s">
        <v>2455</v>
      </c>
      <c r="C8">
        <v>18</v>
      </c>
      <c r="D8" t="s">
        <v>2457</v>
      </c>
    </row>
    <row r="9" spans="1:10">
      <c r="A9" t="s">
        <v>2446</v>
      </c>
      <c r="C9">
        <v>21</v>
      </c>
    </row>
    <row r="10" spans="1:10">
      <c r="A10" t="s">
        <v>2446</v>
      </c>
      <c r="C10">
        <v>24</v>
      </c>
    </row>
    <row r="11" spans="1:10">
      <c r="A11" t="s">
        <v>2446</v>
      </c>
      <c r="C11">
        <v>27</v>
      </c>
    </row>
    <row r="12" spans="1:10">
      <c r="A12" t="s">
        <v>2446</v>
      </c>
      <c r="B12" t="s">
        <v>2059</v>
      </c>
      <c r="C12">
        <v>1000</v>
      </c>
      <c r="D12" t="s">
        <v>2472</v>
      </c>
      <c r="E12" t="s">
        <v>2430</v>
      </c>
      <c r="F12" t="s">
        <v>2471</v>
      </c>
      <c r="G12" t="s">
        <v>2432</v>
      </c>
      <c r="H12" t="s">
        <v>2437</v>
      </c>
      <c r="I12" t="s">
        <v>2432</v>
      </c>
      <c r="J12" t="s">
        <v>2440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Grunddata</vt:lpstr>
      <vt:lpstr>Organisationsobjekt steg 1</vt:lpstr>
      <vt:lpstr>Butiksobjekt steg 2</vt:lpstr>
      <vt:lpstr>Objekt i butiker steg 3</vt:lpstr>
      <vt:lpstr>Metadatareferenser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2026-05-28T11:57:06Z</dcterms:created>
  <dcterms:modified xsi:type="dcterms:W3CDTF">2026-05-28T14:25:59Z</dcterms:modified>
</cp:coreProperties>
</file>